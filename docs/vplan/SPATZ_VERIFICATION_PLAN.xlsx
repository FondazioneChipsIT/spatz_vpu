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Verification Plan" sheetId="1"/>
    <sheet r:id="rId2" name="Configuration" sheetId="2"/>
  </sheets>
  <definedNames>
    <definedName name="_xlnm._FilterDatabase" localSheetId="0">'Verification Plan'!$A$1:$K$43</definedName>
  </definedNames>
  <calcPr calcId="0" iterateCount="100" iterateDelta="0.00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vplan</author>
  </authors>
  <commentList>
    <comment ref="A1" authorId="0">
      <text>
        <r>
          <rPr>
            <sz val="9"/>
            <color rgb="FF000000"/>
            <rFont val="Arial"/>
            <family val="2"/>
          </rPr>
          <t>Identifier of the plan item. Stable and never reused.</t>
        </r>
      </text>
    </comment>
    <comment ref="B1" authorId="0">
      <text>
        <r>
          <rPr>
            <sz val="9"/>
            <color rgb="FF000000"/>
            <rFont val="Arial"/>
            <family val="2"/>
          </rPr>
          <t>Identifier of the feature. One feature can be covered by more than one item.</t>
        </r>
      </text>
    </comment>
    <comment ref="C1" authorId="0">
      <text>
        <r>
          <rPr>
            <sz val="9"/>
            <color rgb="FF000000"/>
            <rFont val="Arial"/>
            <family val="2"/>
          </rPr>
          <t>The feature, named in a few words. [assumed] = reconstructed from the RTL, see Known limitations in SPATZ_VERIFICATION_PLAN.md.</t>
        </r>
      </text>
    </comment>
    <comment ref="D1" authorId="0">
      <text>
        <r>
          <rPr>
            <sz val="9"/>
            <color rgb="FF000000"/>
            <rFont val="Arial"/>
            <family val="2"/>
          </rPr>
          <t>One sentence, in the form 'Verify that ...'.</t>
        </r>
      </text>
    </comment>
    <comment ref="E1" authorId="0">
      <text>
        <r>
          <rPr>
            <sz val="9"/>
            <color rgb="FF000000"/>
            <rFont val="Arial"/>
            <family val="2"/>
          </rPr>
          <t>Test, property or regression covering the item; '-' while it does not exist.</t>
        </r>
      </text>
    </comment>
    <comment ref="F1" authorId="0">
      <text>
        <r>
          <rPr>
            <sz val="9"/>
            <color rgb="FF000000"/>
            <rFont val="Arial"/>
            <family val="2"/>
          </rPr>
          <t>The scenario in operational terms: ports, traffic, order, backpressure.</t>
        </r>
      </text>
    </comment>
    <comment ref="G1" authorId="0">
      <text>
        <r>
          <rPr>
            <sz val="9"/>
            <color rgb="FF000000"/>
            <rFont val="Arial"/>
            <family val="2"/>
          </rPr>
          <t>Not Started / In Progress / Passed. Changed only by the verification engineer, Passed only on evidence.</t>
        </r>
      </text>
    </comment>
    <comment ref="H1" authorId="0">
      <text>
        <r>
          <rPr>
            <sz val="9"/>
            <color rgb="FF000000"/>
            <rFont val="Arial"/>
            <family val="2"/>
          </rPr>
          <t>Verbatim quote of the specification text the requirement comes from.</t>
        </r>
      </text>
    </comment>
    <comment ref="I1" authorId="0">
      <text>
        <r>
          <rPr>
            <sz val="9"/>
            <color rgb="FF000000"/>
            <rFont val="Arial"/>
            <family val="2"/>
          </rPr>
          <t>What the existing environment covers, by which mechanism, and what it does not.</t>
        </r>
      </text>
    </comment>
    <comment ref="J1" authorId="0">
      <text>
        <r>
          <rPr>
            <sz val="9"/>
            <color rgb="FF000000"/>
            <rFont val="Arial"/>
            <family val="2"/>
          </rPr>
          <t>Configuration sets of the Configuration sheet; empty = all legal configurations.</t>
        </r>
      </text>
    </comment>
    <comment ref="K1" authorId="0">
      <text>
        <r>
          <rPr>
            <sz val="9"/>
            <color rgb="FF000000"/>
            <rFont val="Arial"/>
            <family val="2"/>
          </rPr>
          <t>scoreboard, assertion, VIP + formal, directed test, constrained-random regression, review, or a combination.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vplan</author>
  </authors>
  <commentList>
    <comment ref="I1" authorId="0">
      <text>
        <r>
          <rPr>
            <sz val="9"/>
            <color rgb="FF000000"/>
            <rFont val="Arial"/>
            <family val="2"/>
          </rPr>
          <t>Swept = more than one value in the regression. Fixed - untested = a single value in every run. By construction = illegal values cannot be produced (derived or hard-coded).</t>
        </r>
      </text>
    </comment>
  </commentList>
</comments>
</file>

<file path=xl/sharedStrings.xml><?xml version="1.0" encoding="utf-8"?>
<sst xmlns="http://schemas.openxmlformats.org/spreadsheetml/2006/main" count="496" uniqueCount="496">
  <si>
    <t>Item ID</t>
  </si>
  <si>
    <t>Feature ID</t>
  </si>
  <si>
    <t>Requirement</t>
  </si>
  <si>
    <t>Verification Goal</t>
  </si>
  <si>
    <t>Test Name</t>
  </si>
  <si>
    <t>Stimulus</t>
  </si>
  <si>
    <t>Status</t>
  </si>
  <si>
    <t>Note</t>
  </si>
  <si>
    <t>Old testbench situation</t>
  </si>
  <si>
    <t>Configurations</t>
  </si>
  <si>
    <t>Check</t>
  </si>
  <si>
    <t>T000</t>
  </si>
  <si>
    <t>F000</t>
  </si>
  <si>
    <t>Offload issue handshake</t>
  </si>
  <si>
    <t>Verify that every instruction presented on issue_* is consumed exactly once when issue_valid_i &amp;&amp; issue_ready_o, and that the DUT never loses or duplicates an instruction while issue_ready_o is low.</t>
  </si>
  <si>
    <t>-</t>
  </si>
  <si>
    <t>Issue agent drives a constrained-random legal instruction stream with random idle cycles between instructions, keeps issue_valid_i/issue_req_i stable while issue_ready_o=0; mix instructions executed locally in the FPU sequencer (fmv.*, flw/fsw) with forwarded ones, and FP instructions whose FP sources are still pending (sequencer stall).</t>
  </si>
  <si>
    <t>Not Started</t>
  </si>
  <si>
    <t>SPATZ_SPEC.md: "The core asserts `issue_valid_i` with a stable `issue_req_i` until `issue_ready_o` is seen."
SPATZ_SPEC.md: "An illegal instruction **is consumed** (`issue_ready_o` = 1) and answered with `accept = 0, exception = 1`; it is not executed."</t>
  </si>
  <si>
    <t>Cluster-level SW regression (util/local_ci.sh on spatz_cluster TB, self-checking C tests: golden values compared in SW after vse*). Covered: the Snitch core drives the interface with real programs, so the nominal handshake is exercised. Not covered: no protocol checker, no random valid gaps, no control over when the core presents instructions.</t>
  </si>
  <si>
    <t>assertion + scoreboard</t>
  </si>
  <si>
    <t>T001</t>
  </si>
  <si>
    <t>F001</t>
  </si>
  <si>
    <t>Issue immediate response</t>
  </si>
  <si>
    <t>Verify that in the handshake cycle issue_rsp_o reports accept/writeback/loadstore/exception consistently with the class of the accepted instruction.</t>
  </si>
  <si>
    <t>For every instruction class of the Supported Instructions tables (CON, VFU, LSU, SLD, SEQ, illegal) issue at least one instruction; sample issue_rsp_o only when issue_valid_i &amp;&amp; issue_ready_o.</t>
  </si>
  <si>
    <t>SPATZ_SPEC.md: "`issue_rsp_o` (except `isfloat`) is only meaningful in the cycle where `issue_valid_i &amp;&amp; issue_ready_o`."
SPATZ_SPEC.md: "The Snitch core only uses `loadstore` and `isfloat`; `accept`, `writeback` and `exception` are exposed for completeness and for checking."</t>
  </si>
  <si>
    <t>Cluster-level SW regression (util/local_ci.sh on spatz_cluster TB, self-checking C tests: golden values compared in SW after vse*). Not covered: Snitch ignores accept/writeback/exception, no check exists; loadstore is only checked indirectly (a wrong value breaks scalar/vector memory ordering).</t>
  </si>
  <si>
    <t>scoreboard</t>
  </si>
  <si>
    <t>T002</t>
  </si>
  <si>
    <t>F002</t>
  </si>
  <si>
    <t>isfloat busy indication</t>
  </si>
  <si>
    <t>Verify that issue_rsp_o.isfloat is high whenever at least one vector instruction is in flight and low otherwise.</t>
  </si>
  <si>
    <t>Issue single vector instructions and bursts up to NrParallelInstructions, with and without memory backpressure; issue CSR-only sequences (isfloat must stay low).</t>
  </si>
  <si>
    <t>SPATZ_SPEC.md: "`issue_rsp_o.isfloat` is a level signal, high whenever at least one vector instruction is in flight."</t>
  </si>
  <si>
    <t>Cluster-level SW regression (util/local_ci.sh on spatz_cluster TB, self-checking C tests: golden values compared in SW after vse*). Not covered: used by Snitch only to delay fcsr reads; no test reads fcsr while vector instructions run.</t>
  </si>
  <si>
    <t>T003</t>
  </si>
  <si>
    <t>F003</t>
  </si>
  <si>
    <t>Write-back response channel</t>
  </si>
  <si>
    <t>Verify that exactly one rsp_o transfer is produced per write-back instruction, in issue order, with rsp_o.id equal to the request id and the correct data, and that rsp_valid_o/rsp_o stay stable under rsp_ready_i backpressure.</t>
  </si>
  <si>
    <t>riscvTests-vsetvli, riscvTests-scalar</t>
  </si>
  <si>
    <t>Issue vsetvl*/CSR reads (including rd=x0), vmv.x.s, scalar mul/div/rem, FP compares/fclass/fcvt.w* and fmv.x.* back to back; drive rsp_ready_i with random backpressure, including long stalls.</t>
  </si>
  <si>
    <t>In Progress</t>
  </si>
  <si>
    <t>SPATZ_SPEC.md: "every `vsetvl`/`vsetvli`/`vsetivli` (data = new `vl`) and every vector CSR access (data = CSR read value), **regardless of `rd`** (also when `rd = x0`);"
SPATZ_SPEC.md: "`rsp_o` is driven by a non-bypassable spill register: `rsp_valid_o` and `rsp_o` are registered outputs and remain stable until `rsp_ready_i`."</t>
  </si>
  <si>
    <t>Cluster-level SW regression (util/local_ci.sh on spatz_cluster TB, self-checking C tests: golden values compared in SW after vse*). Covered: returned values used by the C code (vl, scalar results) are checked implicitly. Not covered: ordering and id checks, rd=x0 responses, backpressure (the core accepts responses without stalls).</t>
  </si>
  <si>
    <t>scoreboard + assertion</t>
  </si>
  <si>
    <t>T004</t>
  </si>
  <si>
    <t>F004</t>
  </si>
  <si>
    <t>FP-destination results kept internal</t>
  </si>
  <si>
    <t>Verify that results with an FP destination are written to the internal FP register file and never appear on rsp_o (rsp_o.id[5] always 0).</t>
  </si>
  <si>
    <t>riscvTests-scalar</t>
  </si>
  <si>
    <t>Issue vfmv.f.s, scalar FP arithmetic, flw/fld and fmv.w.x, then read the FP registers back with fmv.x.w / fsw.</t>
  </si>
  <si>
    <t>SPATZ_SPEC.md: "Results with an FP destination (`vfmv.f.s`, scalar FP arithmetic, FP loads, `fmv.{b,h,w}.x`) are written to the internal FP register file and **do not appear on `rsp_o`**."</t>
  </si>
  <si>
    <t>Cluster-level SW regression (util/local_ci.sh on spatz_cluster TB, self-checking C tests: golden values compared in SW after vse*). Covered: FP scalar values are used by later instructions whose results are checked. Not covered: no check that nothing leaks on rsp_o.</t>
  </si>
  <si>
    <t>T005</t>
  </si>
  <si>
    <t>F005</t>
  </si>
  <si>
    <t>VLSU memory port protocol</t>
  </si>
  <si>
    <t>Verify that each VLSU port issues ELEN-aligned requests with amo=AMONone, keeps valid/payload stable until ready, and operates correctly with in-order responses of any latency, including one response per store.</t>
  </si>
  <si>
    <t>Memory slave agents on every port: random req_ready deassertion (single cycles and long stalls), random in-order response latency 1..32 cycles, response for every write; run all load/store addressing modes on top.</t>
  </si>
  <si>
    <t>SPATZ_SPEC.md: "**Responses must be returned in request order per port** (non-MemPool build: the "reorder buffer" is a FIFO)."
SPATZ_SPEC.md: "**Every request, including stores, must receive exactly one response** (`spatz_mem_rsp_valid_i` pulse)."</t>
  </si>
  <si>
    <t>Cluster-level SW regression (util/local_ci.sh on spatz_cluster TB, self-checking C tests: golden values compared in SW after vse*). Covered: real TCDM traffic, data correctness checked end to end. Not covered: TCDM has fixed latency, backpressure only from natural bank conflicts, no protocol assertions.</t>
  </si>
  <si>
    <t>T006</t>
  </si>
  <si>
    <t>F006</t>
  </si>
  <si>
    <t>VLSU outstanding-request limits [assumed]</t>
  </si>
  <si>
    <t>Verify that no port has more than 8 loads outstanding/buffered and that the DUT behaves correctly with up to 7 unacknowledged stores per port.</t>
  </si>
  <si>
    <t>Directed: long unit-stride and strided stores/loads with memory latency &gt; 8 cycles and no ready backpressure; back-to-back store-&gt;load on the same port.</t>
  </si>
  <si>
    <t>SPATZ_SPEC.md: "For loads the VLSU never has more than 8 requests per port outstanding or buffered (bounded by its offset queue), so its buffers cannot overflow."
SPATZ_SPEC.md: "Stores are **not** limited by the VLSU; the per-port store-acknowledge counter is only 3 bits wide, so the memory must not keep more than 7 stores per port unacknowledged."</t>
  </si>
  <si>
    <t>Cluster-level SW regression (util/local_ci.sh on spatz_cluster TB, self-checking C tests: golden values compared in SW after vse*). Not covered: TCDM latency is 1-2 cycles, the limits are never reached.</t>
  </si>
  <si>
    <t>assertion + directed test</t>
  </si>
  <si>
    <t>T007</t>
  </si>
  <si>
    <t>F007</t>
  </si>
  <si>
    <t>FP LSU (reqrsp) interface</t>
  </si>
  <si>
    <t>Verify that scalar FP loads/stores produce correct reqrsp requests (address, size, strb, NaN-boxing of loaded values) and complete with in-order responses under backpressure on q and p channels.</t>
  </si>
  <si>
    <t>riscvTests-fl_narrow, riscvTests-scalar</t>
  </si>
  <si>
    <t>flb/flh/flw/fld and fsb/fsh/fsw/fsd with all alignments; random q_ready and p_valid delays; up to NumOutstandingLoads loads in flight.</t>
  </si>
  <si>
    <t>SPATZ_SPEC.md: "Standard `reqrsp` protocol: two independent valid/ready channels (`q` and `p`), responses in order, one response per request (including stores)."</t>
  </si>
  <si>
    <t>Cluster-level SW regression (util/local_ci.sh on spatz_cluster TB, self-checking C tests: golden values compared in SW after vse*). Covered: FP scalar loads in several tests. Not covered: backpressure, outstanding limit, protocol assertions.</t>
  </si>
  <si>
    <t>T008</t>
  </si>
  <si>
    <t>F008</t>
  </si>
  <si>
    <t>Memory completion side channel</t>
  </si>
  <si>
    <t>Verify that spatz_mem_finished_o[1]/[0] pulse exactly once per completed vector/FP memory instruction (last segment for segmented ones) and spatz_mem_str_finished_o only together with finished for stores.</t>
  </si>
  <si>
    <t>Sequences of vector loads, stores and segmented accesses interleaved with FP loads/stores, with memory backpressure; count pulses per instruction.</t>
  </si>
  <si>
    <t>SPATZ_SPEC.md: "`spatz_mem_finished_o[1]` pulses once per completed vector memory instruction (for segmented instructions only on the last segment); `spatz_mem_str_finished_o[1]` pulses together with it when that instruction was a store."</t>
  </si>
  <si>
    <t>Cluster-level SW regression (util/local_ci.sh on spatz_cluster TB, self-checking C tests: golden values compared in SW after vse*). Covered only indirectly: Snitch uses the pulses to order scalar memory accesses. Not covered: no direct count check.</t>
  </si>
  <si>
    <t>T009</t>
  </si>
  <si>
    <t>F009</t>
  </si>
  <si>
    <t>Scalar FP vs vector memory ordering</t>
  </si>
  <si>
    <t>Verify that FP loads/stores executed by the FPU sequencer observe the memory effects of preceding vector stores and are not overtaken by later vector accesses.</t>
  </si>
  <si>
    <t>Directed: vse32 then flw from the same address; vle32 then fsw to an address in the loaded range; repeat with long memory latency on the VLSU ports.</t>
  </si>
  <si>
    <t>SPATZ_SPEC.md: "FP loads/stores are delayed while vector memory instructions of the conflicting type are in flight (tracked with `spatz_mem_finished`), with a 3-bit counter of in-flight vector memory instructions."</t>
  </si>
  <si>
    <t>Cluster-level SW regression (util/local_ci.sh on spatz_cluster TB, self-checking C tests: golden values compared in SW after vse*). Not covered: tests do not deliberately mix FP scalar and vector accesses to the same address.</t>
  </si>
  <si>
    <t>scoreboard + directed test</t>
  </si>
  <si>
    <t>T010</t>
  </si>
  <si>
    <t>F010</t>
  </si>
  <si>
    <t>FPU side channel sampling</t>
  </si>
  <si>
    <t>Verify that fpu_rnd_mode_i and fpu_fmt_mode_i are sampled when the instruction is accepted and that later changes do not affect instructions already in flight.</t>
  </si>
  <si>
    <t>Issue FP vector instructions and change fpu_rnd_mode_i / fpu_fmt_mode_i in the cycle after the handshake while they are still executing.</t>
  </si>
  <si>
    <t>SPATZ_SPEC.md: "`fpu_rnd_mode_i` and `fpu_fmt_mode_i` are "untimed": they are sampled by the decoder in the cycle the instruction is accepted and travel with the instruction."</t>
  </si>
  <si>
    <t>Cluster-level SW regression (util/local_ci.sh on spatz_cluster TB, self-checking C tests: golden values compared in SW after vse*). Not covered: no test changes frm or the FP format mode.</t>
  </si>
  <si>
    <t>T011</t>
  </si>
  <si>
    <t>F011</t>
  </si>
  <si>
    <t>Vector CSRs</t>
  </si>
  <si>
    <t>Verify the read value and write semantics of vstart, vxsat, vxrm, vcsr, vl, vtype, vlenb for csrrw/s/c[i], and that any other CSR address is illegal.</t>
  </si>
  <si>
    <t>riscvTests-vsetvli</t>
  </si>
  <si>
    <t>Directed: every CSR x every csr* variant with rd=x0/rd!=x0 and rs1=x0/rs1!=x0; reads after vsetvl*; accesses to non-vector CSR addresses.</t>
  </si>
  <si>
    <t>SPATZ_SPEC.md: "Any other CSR address offloaded to Spatz is illegal."
SPATZ_SPEC.md: "Reads as 0, writes ignored (no fixed-point support)"</t>
  </si>
  <si>
    <t>Cluster-level SW regression (util/local_ci.sh on spatz_cluster TB, self-checking C tests: golden values compared in SW after vse*). Covered: vl returned by vsetvli. Not covered: no test reads or writes the vector CSRs directly.</t>
  </si>
  <si>
    <t>T012</t>
  </si>
  <si>
    <t>F012</t>
  </si>
  <si>
    <t>vsetvl* configuration</t>
  </si>
  <si>
    <t>Verify vl/vtype after vsetvli/vsetivli/vsetvl for all SEW x LMUL (incl. fractional), all AVL cases, rs1=x0 rules, keep-vl ratio check and every illegal vtype.</t>
  </si>
  <si>
    <t>riscvTests-vsetvli, riscvTests-vill</t>
  </si>
  <si>
    <t>Sweep SEW {8,16,32,64} x LMUL {F8,F4,F2,1,2,4,8,reserved}, AVL {0,1,VLMAX-1,VLMAX,VLMAX+1,max}, rd/rs1 = x0 combinations, keep-vl with same and different SEW/LMUL ratio.</t>
  </si>
  <si>
    <t>SPATZ_SPEC.md: "If `rs1 = x0` and `rd = x0` (*keep-vl*): `vl` is preserved; if the new `vtype` changes the `SEW/LMUL` ratio, `vtype` is set to illegal."
SPATZ_SPEC.md: "`VLMAX = (VLENB &gt;&gt; vsew) &lt;&lt; vlmul` (right-shift for fractional LMUL). `vl = min(AVL, VLMAX)`."</t>
  </si>
  <si>
    <t>Cluster-level SW regression (util/local_ci.sh on spatz_cluster TB, self-checking C tests: golden values compared in SW after vse*). Covered: vsetvli with a set of SEW/LMUL values, one illegal vtype (vill test, expected to fail). Not covered: fractional LMUL, keep-vl, full AVL sweep.</t>
  </si>
  <si>
    <t>CS-DEF, CS-SVRF, CS-32B, CS-DBW</t>
  </si>
  <si>
    <t>T013</t>
  </si>
  <si>
    <t>F013</t>
  </si>
  <si>
    <t>vstart handling</t>
  </si>
  <si>
    <t>Verify that execution starts at vstart for arithmetic, memory and slide instructions and that vstart is reset to 0 by every accepted non-CSR instruction.</t>
  </si>
  <si>
    <t>csrw vstart with values {1, word-1, word, vl-1} before each instruction class; read vstart back after the instruction.</t>
  </si>
  <si>
    <t>SPATZ_SPEC.md: "Reset to 0 by every accepted non-CSR instruction (including `vsetvl*`)"</t>
  </si>
  <si>
    <t>Cluster-level SW regression (util/local_ci.sh on spatz_cluster TB, self-checking C tests: golden values compared in SW after vse*). Not covered: no enabled test writes vstart.</t>
  </si>
  <si>
    <t>T014</t>
  </si>
  <si>
    <t>F014</t>
  </si>
  <si>
    <t>Masking (vm = 0)</t>
  </si>
  <si>
    <t>Verify that inactive elements are left undisturbed for arithmetic, loads, stores and slides, and that comparisons write inactive mask bits according to vtype.vma.</t>
  </si>
  <si>
    <t>riscvTests-* (98 of 115 enabled tests use v0.t)</t>
  </si>
  <si>
    <t>Every supported instruction with vm=0 and random v0 (all-zero, all-one, alternating, random), both vma values for comparisons.</t>
  </si>
  <si>
    <t>SPATZ_SPEC.md: "Inactive elements are **mask-undisturbed** for arithmetic, loads and slides (not written: byte enables are cleared)."
SPATZ_SPEC.md: "For comparisons (mask-producing), inactive bits follow `vtype.vma`: `vma = 1` → written as 1 (agnostic), `vma = 0` → undisturbed (the old `vd` is read first)."</t>
  </si>
  <si>
    <t>Cluster-level SW regression (util/local_ci.sh on spatz_cluster TB, self-checking C tests: golden values compared in SW after vse*). Covered: masked variants in most instruction tests with fixed masks. Not covered: random masks, vma=0 on comparisons, masked slides.</t>
  </si>
  <si>
    <t>T015</t>
  </si>
  <si>
    <t>F015</t>
  </si>
  <si>
    <t>Tail policy [assumed]</t>
  </si>
  <si>
    <t>Verify that tail elements (index &gt;= vl) are never modified, for both vta values.</t>
  </si>
  <si>
    <t>Pre-fill destination registers with a known pattern, run every instruction class with vl not a multiple of the VRF word and vta in {0,1}, store the full register group.</t>
  </si>
  <si>
    <t>SPATZ_SPEC.md: "Tail elements are **always undisturbed** (byte enables limited to `vl`), independent of `vtype.vta`."</t>
  </si>
  <si>
    <t>Cluster-level SW regression (util/local_ci.sh on spatz_cluster TB, self-checking C tests: golden values compared in SW after vse*). Not covered: tests compare only the first vl elements.</t>
  </si>
  <si>
    <t>T016</t>
  </si>
  <si>
    <t>F016</t>
  </si>
  <si>
    <t>Integer vector arithmetic</t>
  </si>
  <si>
    <t>Verify the result of every supported integer instruction (add/sub/logic/shift/min/max/merge) for all SEW, LMUL and vl classes.</t>
  </si>
  <si>
    <t>riscvTests-vadd ... riscvTests-vmaxu (see Old testbench situation)</t>
  </si>
  <si>
    <t>Constrained-random operands (including min/max values), .vv/.vx/.vi forms, SEW x LMUL x vl {1, &lt;word, =word, not multiple of word, VLMAX}.</t>
  </si>
  <si>
    <t>SPATZ_SPEC.md: "`vadd.{vv,vx,vi}`, `vsub.{vv,vx}`, `vrsub.{vx,vi}`"</t>
  </si>
  <si>
    <t>Cluster-level SW regression (util/local_ci.sh on spatz_cluster TB, self-checking C tests: golden values compared in SW after vse*). Covered: vadd, vsub, vrsub, vand, vor, vxor, vsll, vsrl, vsra, vmin[u], vmax[u], vmv with directed operands, LMUL 1..8. Not covered: fractional LMUL, random operands, vmerge (no enabled test).</t>
  </si>
  <si>
    <t>T017</t>
  </si>
  <si>
    <t>F017</t>
  </si>
  <si>
    <t>Widening integer arithmetic</t>
  </si>
  <si>
    <t>Verify vwadd[u], vwsub[u], vwmul[u,su] and vwmacc[u,su,us] results and destination register group placement.</t>
  </si>
  <si>
    <t>riscvTests-vwadd, -vwaddu, -vwsub, -vwsubu, -vwmul, -vwmulu, -vwmulsu, -vwmacc, -vwmaccu, -vwmaccsu, -vwmaccus</t>
  </si>
  <si>
    <t>Signed/unsigned extremes, all SEW &lt; ELEN, LMUL up to 4, masked and unmasked.</t>
  </si>
  <si>
    <t>SPATZ_SPEC.md: "`vwadd[u].{vv,vx}`, `vwsub[u].{vv,vx}` (no `.wv/.wx` forms)"</t>
  </si>
  <si>
    <t>Cluster-level SW regression (util/local_ci.sh on spatz_cluster TB, self-checking C tests: golden values compared in SW after vse*). Covered: one test per instruction with directed values. Not covered: random operands, vl not multiple of the word.</t>
  </si>
  <si>
    <t>T018</t>
  </si>
  <si>
    <t>F018</t>
  </si>
  <si>
    <t>Integer multiply, multiply-add and divide</t>
  </si>
  <si>
    <t>Verify vmul*, vmacc/vnmsac/vmadd/vnmsub and vdiv[u]/vrem[u] including division by zero and signed overflow per RVV, independently of the serial divider latency.</t>
  </si>
  <si>
    <t>riscvTests-vmul, -vmulh, -vmulhu, -vmulhsu, -vmacc, -vmadd, -vnmsac, -vnmsub, -vdiv, -vdivu, -vrem, -vremu</t>
  </si>
  <si>
    <t>Random operands plus directed divisor=0, INT_MIN/-1, operands with very different leading-zero counts (divider latency extremes).</t>
  </si>
  <si>
    <t>SPATZ_SPEC.md: "`vdiv[u]/vrem[u].{vv,vx}` (serial divider, multi-cycle)"</t>
  </si>
  <si>
    <t>Cluster-level SW regression (util/local_ci.sh on spatz_cluster TB, self-checking C tests: golden values compared in SW after vse*). Covered: directed tests per instruction. Not covered: RVV corner cases not confirmed in the tests, random operands.</t>
  </si>
  <si>
    <t>T019</t>
  </si>
  <si>
    <t>F019</t>
  </si>
  <si>
    <t>Add/subtract with carry [open question Q03]</t>
  </si>
  <si>
    <t>Verify vadc/vsbc/vmadc/vmsbc results with carry/borrow taken from v0.</t>
  </si>
  <si>
    <t>Random operands and random v0 for vvm/vxm/vim forms; carry-out forms with and without carry-in.</t>
  </si>
  <si>
    <t>SPATZ_SPEC.md: "`vadc.{vvm,vxm,vim}`, `vmadc.{vv,vx,vi,vvm,vxm,vim}`, `vsbc.{vvm,vxm}`, `vmsbc.{vv,vx,vvm,vxm}`"</t>
  </si>
  <si>
    <t>Cluster-level SW regression (util/local_ci.sh on spatz_cluster TB, self-checking C tests: golden values compared in SW after vse*). Not covered: vmadc.c / vsbc.c exist in sw/riscvTests/isa/rv64uv but are not enabled in CMakeLists.txt.</t>
  </si>
  <si>
    <t>T020</t>
  </si>
  <si>
    <t>F020</t>
  </si>
  <si>
    <t>Integer reductions</t>
  </si>
  <si>
    <t>Verify vred* results (element 0 of vd) for all SEW, vl and masks, including the neutral value for masked-off elements.</t>
  </si>
  <si>
    <t>riscvTests-vredsum, -vredand, -vredor, -vredxor, -vredmin, -vredminu, -vredmax, -vredmaxu</t>
  </si>
  <si>
    <t>vl {1, 2, word, not multiple of word, VLMAX}, masked/unmasked, vs1[0] extremes.</t>
  </si>
  <si>
    <t>SPATZ_SPEC.md: "Reductions are executed by a dedicated FSM: initialisation with `vs1[0]`, accumulation of the whole vector per lane, intra-lane drain, inter-lane tree, SIMD fold, write-back of element 0 of `vd`."</t>
  </si>
  <si>
    <t>Cluster-level SW regression (util/local_ci.sh on spatz_cluster TB, self-checking C tests: golden values compared in SW after vse*). Covered: one test per reduction. Not covered: vl sweep, random masks.</t>
  </si>
  <si>
    <t>T021</t>
  </si>
  <si>
    <t>F021</t>
  </si>
  <si>
    <t>Compares and mask-logical instructions</t>
  </si>
  <si>
    <t>Verify integer/FP compares and vm*.mm results, the number of mask bytes written (ceil(vl/8)) and the vma policy.</t>
  </si>
  <si>
    <t>riscvTests-vmfeq, -vmfne, -vmflt, -vmfle, -vmfgt, -vmfge, -vmand, -vmor, -vmandnot, -vmnand, -vmnor, -vmornot, -vmxnor, -vmxor</t>
  </si>
  <si>
    <t>All compare forms with equal/greater/less/NaN operands, vl not multiple of 8, vma in {0,1}.</t>
  </si>
  <si>
    <t>SPATZ_SPEC.md: "For mask-producing instructions, the whole mask bytes up to `ceil(vl/8)` are written."</t>
  </si>
  <si>
    <t>Cluster-level SW regression (util/local_ci.sh on spatz_cluster TB, self-checking C tests: golden values compared in SW after vse*). Covered: FP compares and mask-logical ops. Not covered: integer compares (vmseq/vmsne/vmslt[u]/vmsle[u]/vmsgt[u] have no enabled test), vma=0.</t>
  </si>
  <si>
    <t>T022</t>
  </si>
  <si>
    <t>F022</t>
  </si>
  <si>
    <t>Unit-stride loads and stores</t>
  </si>
  <si>
    <t>Verify vle*/vse* for all EEW, aligned and unaligned base addresses, masked, with the port interleaving and strobes defined in the spec.</t>
  </si>
  <si>
    <t>riscvTests-vle8, -vle16, -vle32, -vle64, -vse8, -vse16, -vse32, -vse64</t>
  </si>
  <si>
    <t>Base address offset 0..7, vl classes, LMUL 1..8, masked; memory agents with random backpressure; check per-port address sequence.</t>
  </si>
  <si>
    <t>SPATZ_SPEC.md: "**Unit-stride, aligned base, `vstart = 0`:** each port transfers a full 8-byte word per request."</t>
  </si>
  <si>
    <t>Cluster-level SW regression (util/local_ci.sh on spatz_cluster TB, self-checking C tests: golden values compared in SW after vse*). Covered: one test per EEW. Not covered: unaligned base sweep, port address sequence, backpressure.</t>
  </si>
  <si>
    <t>T023</t>
  </si>
  <si>
    <t>F023</t>
  </si>
  <si>
    <t>Strided loads and stores</t>
  </si>
  <si>
    <t>Verify vlse*/vsse* for positive, negative, zero and non-element-multiple strides.</t>
  </si>
  <si>
    <t>riscvTests-vls, riscvTests-vss</t>
  </si>
  <si>
    <t>Stride in {0, SEW/8, -SEW/8, large, not multiple of SEW/8}, all EEW, masked.</t>
  </si>
  <si>
    <t>SPATZ_SPEC.md: "Address = `rs1 + offset`, offset = `i * stride` (strided, `stride = rs2`)"</t>
  </si>
  <si>
    <t>Cluster-level SW regression (util/local_ci.sh on spatz_cluster TB, self-checking C tests: golden values compared in SW after vse*). Covered: vls/vss with fixed strides. Not covered: negative, zero and non-multiple strides (open question Q13).</t>
  </si>
  <si>
    <t>T024</t>
  </si>
  <si>
    <t>F024</t>
  </si>
  <si>
    <t>Indexed loads and stores</t>
  </si>
  <si>
    <t>Verify vl[ou]xei*/vs[ou]xei* for every index EEW x data SEW combination, with sign-extended byte offsets.</t>
  </si>
  <si>
    <t>riscvTests-vloxei, riscvTests-vsuxei</t>
  </si>
  <si>
    <t>Index EEW {8,16,32,64} x SEW {8,16,32,64}, random and repeated indices, negative offsets, masked.</t>
  </si>
  <si>
    <t>SPATZ_SPEC.md: "ordered and unordered handled identically (sequential). Index EEW 64 uses only the low 32 bits"</t>
  </si>
  <si>
    <t>Cluster-level SW regression (util/local_ci.sh on spatz_cluster TB, self-checking C tests: golden values compared in SW after vse*). Covered: vloxei and vsuxei tests. Not covered: full EEW x SEW cross, vluxei/vsoxei encodings, negative offsets.</t>
  </si>
  <si>
    <t>T025</t>
  </si>
  <si>
    <t>F025</t>
  </si>
  <si>
    <t>Segmented loads and stores</t>
  </si>
  <si>
    <t>Verify vlseg&lt;nf&gt;/vsseg&lt;nf&gt; for nf 2..8 and all EEW, writing register vd+field for each field.</t>
  </si>
  <si>
    <t>riscvTests-vlseg, riscvTests-vsseg</t>
  </si>
  <si>
    <t>nf 2..8 x EEW x LMUL with nf*LMUL &lt;= 8, masked, unaligned base.</t>
  </si>
  <si>
    <t>SPATZ_SPEC.md: "`nf` = 2..8; register `vd + field` per field"</t>
  </si>
  <si>
    <t>Cluster-level SW regression (util/local_ci.sh on spatz_cluster TB, self-checking C tests: golden values compared in SW after vse*). Covered: vlseg/vsseg tests. Not covered: full nf x EEW sweep.</t>
  </si>
  <si>
    <t>T026</t>
  </si>
  <si>
    <t>F026</t>
  </si>
  <si>
    <t>Permutation (VSLDU)</t>
  </si>
  <si>
    <t>Verify slides (any amount), vslide1*/vfslide1*, vmv.* and vcompress.vm results, masked and unmasked.</t>
  </si>
  <si>
    <t>riscvTests-vslideup, -vslidedown, -vslide1up, -vslide1down, -vfslide1up, -vfslide1down, -vmv, -vfmv</t>
  </si>
  <si>
    <t>Slide amount {0, 1, word-1, word, &gt;vl, &gt;VLMAX}, all SEW, LMUL up to 8; vcompress with random masks.</t>
  </si>
  <si>
    <t>SPATZ_SPEC.md: "`vmv.v.{v,x,i}`, `vmv.s.x`, `vslideup.{vx,vi}`, `vslide1up.vx`, `vslidedown.{vx,vi}`, `vslide1down.vx`, `vfslide1up.vf`, `vfslide1down.vf`, `vfmv.v.f`, `vfmv.s.f`, `vcompress.vm`."</t>
  </si>
  <si>
    <t>Cluster-level SW regression (util/local_ci.sh on spatz_cluster TB, self-checking C tests: golden values compared in SW after vse*). Covered: slides and moves. Not covered: vcompress (vcompress.c not enabled), extreme slide amounts.</t>
  </si>
  <si>
    <t>T027</t>
  </si>
  <si>
    <t>F027</t>
  </si>
  <si>
    <t>FP vector arithmetic</t>
  </si>
  <si>
    <t>Verify FP add/sub/mul/FMA/min/max/sgnj results for every format (incl. FP16ALT/FP8ALT via fpu_fmt_mode_i), every rounding mode and IEEE special operands.</t>
  </si>
  <si>
    <t>riscvTests-vfadd, -vfsub, -vfrsub, -vfmul, -vfmacc, -vfnmacc, -vfmsac, -vfnmsac, -vfmadd, -vfnmadd, -vfmsub, -vfnmsub, -vfmin, -vfmax, -vfsgnj, -vfsgnjn, -vfsgnjx</t>
  </si>
  <si>
    <t>Random operands plus ±0, ±inf, qNaN, sNaN, subnormals, rounding ties; fpu_rnd_mode_i in {RNE,RTZ,RDN,RUP,RMM}; fpu_fmt_mode_i src/dst in {0,1}.</t>
  </si>
  <si>
    <t>SPATZ_SPEC.md: "Supported FP formats (default, `RVD = 1`): FP64, FP32, FP16, FP16ALT (bfloat16), FP8, FP8ALT, selected by SEW and `fpu_fmt_mode_i`"</t>
  </si>
  <si>
    <t>Cluster-level SW regression (util/local_ci.sh on spatz_cluster TB, self-checking C tests: golden values compared in SW after vse*). Covered: directed values in FP64/FP32/FP16 with the default rounding mode. Not covered: rounding modes (no test changes frm), ALT formats, special operands sweep.</t>
  </si>
  <si>
    <t>T028</t>
  </si>
  <si>
    <t>F028</t>
  </si>
  <si>
    <t>FP conversions</t>
  </si>
  <si>
    <t>Verify vfcvt.* and vfncvt.* results including saturation, NaN handling and RTZ variants.</t>
  </si>
  <si>
    <t>riscvTests-vfcvt, riscvTests-vfncvt</t>
  </si>
  <si>
    <t>Values out of integer range, NaN, ±inf, subnormals; every SEW pair; all rounding modes.</t>
  </si>
  <si>
    <t>SPATZ_SPEC.md: "`vfcvt.{f.x,f.xu,x.f,xu.f,rtz.x.f,rtz.xu.f}.v`, `vfncvt.{f.x,f.xu,x.f,xu.f,rtz.x.f,rtz.xu.f,f.f}.w`"</t>
  </si>
  <si>
    <t>Cluster-level SW regression (util/local_ci.sh on spatz_cluster TB, self-checking C tests: golden values compared in SW after vse*). Covered: vfcvt/vfncvt directed tests. Not covered: saturation and rounding-mode sweep.</t>
  </si>
  <si>
    <t>T029</t>
  </si>
  <si>
    <t>F029</t>
  </si>
  <si>
    <t>FP widening and dot product [open question Q05]</t>
  </si>
  <si>
    <t>Verify vfw* results and vfwdotp (SDOTP) accumulation into vd, including special operands of the narrow format.</t>
  </si>
  <si>
    <t>riscvTests-vfwadd, -vfwsub, -vfwmul, -vfwmacc, -vfwmsac, -vfwnmsac; spatzBenchmarks sdotp-*</t>
  </si>
  <si>
    <t>All narrow formats, .vv/.vf/.wv/.wf forms, subnormal/inf/NaN narrow operands.</t>
  </si>
  <si>
    <t>SPATZ_SPEC.md: "Widening FP instructions widen the operands before the FPU with a simple exponent re-bias (`widen_fp*_to_fp*` in `spatz_pkg`), not through an FPnew conversion"</t>
  </si>
  <si>
    <t>Cluster-level SW regression (util/local_ci.sh on spatz_cluster TB, self-checking C tests: golden values compared in SW after vse*). Covered: vfw* directed tests, vfwdotp through benchmarks only. Not covered: special narrow operands, vfwnmacc (no enabled test).</t>
  </si>
  <si>
    <t>T030</t>
  </si>
  <si>
    <t>F030</t>
  </si>
  <si>
    <t>FP reductions [open question Q06]</t>
  </si>
  <si>
    <t>Verify vfredusum/vfredosum/vfredmin/vfredmax results and the neutral value used for masked-off elements.</t>
  </si>
  <si>
    <t>riscvTests-vfredusum, -vfredosum, -vfredmin, -vfredmax</t>
  </si>
  <si>
    <t>vl sweep, masked, operands chosen so that summation order changes the result.</t>
  </si>
  <si>
    <t>SPATZ_SPEC.md: "`vfredosum/vfredusum/vfredmin/vfredmax.vs` (ordered sum is executed as a tree, like the unordered one)"</t>
  </si>
  <si>
    <t>Cluster-level SW regression (util/local_ci.sh on spatz_cluster TB, self-checking C tests: golden values compared in SW after vse*). Covered: one test per reduction. Not covered: order-sensitive operands.</t>
  </si>
  <si>
    <t>T031</t>
  </si>
  <si>
    <t>F031</t>
  </si>
  <si>
    <t>FP exception flags</t>
  </si>
  <si>
    <t>Verify that the flags OR-accumulated from fpu_status_o over a sequence equal the reference fflags.</t>
  </si>
  <si>
    <t>Sequences producing each flag (NV, DZ, OF, UF, NX) in isolation and combined, vector and scalar, with and without masked/tail lanes.</t>
  </si>
  <si>
    <t>SPATZ_SPEC.md: "`fpu_status_o` is the OR of the registered FPnew `status_o` of all FPUs, updated every cycle; it is intended to be OR-accumulated (sticky) into `fflags`, not to be sampled per instruction."</t>
  </si>
  <si>
    <t>Cluster-level SW regression (util/local_ci.sh on spatz_cluster TB, self-checking C tests: golden values compared in SW after vse*). Not covered: no test reads fflags.</t>
  </si>
  <si>
    <t>T032</t>
  </si>
  <si>
    <t>F032</t>
  </si>
  <si>
    <t>Scalar instructions executed by Spatz</t>
  </si>
  <si>
    <t>Verify offloaded mul/div/rem, scalar FP arithmetic/compare/convert, fmv.* and FP loads/stores.</t>
  </si>
  <si>
    <t>riscvTests-scalar, riscvTests-fl_narrow</t>
  </si>
  <si>
    <t>Random operands for each scalar instruction, interleaved with vector instructions to exercise the IPU0/FPU0 sharing.</t>
  </si>
  <si>
    <t>SPATZ_SPEC.md: "Snitch offloads its M-extension and its whole F/D/Zfh/Xf8 extension to Spatz."</t>
  </si>
  <si>
    <t>Cluster-level SW regression (util/local_ci.sh on spatz_cluster TB, self-checking C tests: golden values compared in SW after vse*). Covered: scalar and fl_narrow tests. Not covered: interleaving with vector instructions.</t>
  </si>
  <si>
    <t>T033</t>
  </si>
  <si>
    <t>F033</t>
  </si>
  <si>
    <t>Illegal instructions [open questions Q01, Q02]</t>
  </si>
  <si>
    <t>Verify that every unsupported encoding/CSR, unsupported EEW, FP div/sqrt and vector instruction with vill=1 is answered with accept=0/exception=1 and has no architectural side effect (no VRF, memory or rsp_o change).</t>
  </si>
  <si>
    <t>riscvTests-invalid, riscvTests-vill</t>
  </si>
  <si>
    <t>Directed list of illegal encodings per class; illegal instruction issued while rsp_ready_i=0 and the response register is full; vector instructions after an illegal vsetvl.</t>
  </si>
  <si>
    <t>SPATZ_SPEC.md: "Reasons for `exception = 1`: unknown encoding, unsupported instruction or CSR, invalid memory element width, FP instruction without FPU, `vill = 1` for VFU vector / LSU / SLD instructions, FP division/sqrt."</t>
  </si>
  <si>
    <t>Cluster-level SW regression (util/local_ci.sh on spatz_cluster TB, self-checking C tests: golden values compared in SW after vse*). Covered: invalid and vill tests, marked WILL_FAIL in CMakeLists.txt. Not covered: the failure mechanism is not asserted (open question Q14); no check of missing side effects.</t>
  </si>
  <si>
    <t>T034</t>
  </si>
  <si>
    <t>F034</t>
  </si>
  <si>
    <t>Dependencies and chaining</t>
  </si>
  <si>
    <t>Verify that results equal sequential execution for RAW/WAR/WAW hazards across VFU, VLSU and VSLDU, with up to NrParallelInstructions in flight and with chaining-inhibited producers.</t>
  </si>
  <si>
    <t>riscvTests-vls_chain; spatzBenchmarks</t>
  </si>
  <si>
    <t>Random instruction streams with forced register reuse (same vd/vs), producer/consumer pairs for each unit pair, vslideup/strided/indexed/segmented producers.</t>
  </si>
  <si>
    <t>SPATZ_SPEC.md: "Every VRF port request carries the instruction ID; the port is enabled only if all dependencies of that instruction wrote the VRF in the previous cycle."
SPATZ_SPEC.md: "Chaining is disabled for "risky" producers: `vslideup`, strided, segmented and indexed memory instructions."</t>
  </si>
  <si>
    <t>Cluster-level SW regression (util/local_ci.sh on spatz_cluster TB, self-checking C tests: golden values compared in SW after vse*). Covered: vls_chain and benchmark kernels exercise chaining incidentally. Not covered: hazards are not generated by construction.</t>
  </si>
  <si>
    <t>scoreboard + constrained-random regression</t>
  </si>
  <si>
    <t>T035</t>
  </si>
  <si>
    <t>F035</t>
  </si>
  <si>
    <t>VRF bank arbitration and BUF_FPU</t>
  </si>
  <si>
    <t>Verify that VRF bank conflicts between units and a full BUF_FPU FIFO only delay execution and never corrupt results.</t>
  </si>
  <si>
    <t>spatzBenchmarks (dp-fmatmul, sp-fmatmul, ...)</t>
  </si>
  <si>
    <t>Concurrent VFU and VLSU writes to registers mapped to the same bank; long FMA sequences with memory backpressure to fill the FPU buffer.</t>
  </si>
  <si>
    <t>SPATZ_SPEC.md: "Write arbitration per bank, fixed priority: `VFU &gt; VLSU &gt; VSLDU` by default."</t>
  </si>
  <si>
    <t>Cluster-level SW regression (util/local_ci.sh on spatz_cluster TB, self-checking C tests: golden values compared in SW after vse*). Covered: benchmarks create conflicts incidentally. Not covered: conflicts by construction, BUF_FPU disabled (buf_fpu=1 in every configuration).</t>
  </si>
  <si>
    <t>CS-DEF, CS-NOBUF</t>
  </si>
  <si>
    <t>T036</t>
  </si>
  <si>
    <t>F036</t>
  </si>
  <si>
    <t>Reset</t>
  </si>
  <si>
    <t>Verify CSR reset values (vtype.vill=1, vl=0, vstart=0), isfloat=0 and no memory request after reset, including reset asserted during activity.</t>
  </si>
  <si>
    <t>Directed: read CSRs after reset; assert rst_ni asynchronously in the middle of vector load/store and FPU sequences, then run a clean sequence.</t>
  </si>
  <si>
    <t>SPATZ_SPEC.md: "Reset values: `vstart = 0`, `vl = 0`, `vtype = {vill: 1, vsew: EW_8, vlmul: LMUL_1, others 0}`."
SPATZ_SPEC.md: "The VRF is **not reset** (latch array): its content after reset is undefined (X in simulation)."</t>
  </si>
  <si>
    <t>Cluster-level SW regression (util/local_ci.sh on spatz_cluster TB, self-checking C tests: golden values compared in SW after vse*). Not covered: only power-on reset, never reset during activity.</t>
  </si>
  <si>
    <t>T037</t>
  </si>
  <si>
    <t>F037</t>
  </si>
  <si>
    <t>Liveness under backpressure</t>
  </si>
  <si>
    <t>Verify that every accepted instruction eventually retires under any legal backpressure on rsp_ready_i, memory ready and FP LSU channels.</t>
  </si>
  <si>
    <t>Constrained-random streams with long random stalls on every slave interface; bounded stall windows followed by release.</t>
  </si>
  <si>
    <t>SPATZ_SPEC.md: "There is no response `ready`: the memory model must never expect backpressure on responses."</t>
  </si>
  <si>
    <t>Cluster-level SW regression (util/local_ci.sh on spatz_cluster TB, self-checking C tests: golden values compared in SW after vse*). Not covered: no controllable backpressure.</t>
  </si>
  <si>
    <t>assertion + constrained-random regression</t>
  </si>
  <si>
    <t>T038</t>
  </si>
  <si>
    <t>F038</t>
  </si>
  <si>
    <t>Parameter rules</t>
  </si>
  <si>
    <t>Verify that illegal parameter combinations are rejected at elaboration (NrMemPorts != N_FU, non-power-of-two N_FU/VLEN, VLEN &lt; N_FU*ELEN, memory data width != ELEN, N_IPU = 0).</t>
  </si>
  <si>
    <t>Elaboration-only runs with each illegal combination; check the $error message.</t>
  </si>
  <si>
    <t>spatz.sv: "$error("[spatz] The number of FUs needs to be a power of two");"
spatz_vlsu.sv: "$error("[spatz_vlsu] The number of memory ports needs to be equal to the number of FUs.");"</t>
  </si>
  <si>
    <t>No elaboration tests.</t>
  </si>
  <si>
    <t>Illegal combinations only</t>
  </si>
  <si>
    <t>directed test (elaboration) + review</t>
  </si>
  <si>
    <t>T039</t>
  </si>
  <si>
    <t>F039</t>
  </si>
  <si>
    <t>Configuration space</t>
  </si>
  <si>
    <t>Verify that the functional items hold in every configuration set of the Configuration sheet.</t>
  </si>
  <si>
    <t>util/local_ci.sh (riscvTests, spatzBenchmarks, snRuntime)</t>
  </si>
  <si>
    <t>Run the full regression on each configuration set; add the sets currently never exercised (CS-4IPU, CS-NOBUF, CS-LAT).</t>
  </si>
  <si>
    <t>spatz_pkg.sv.tpl: "// Number of IPUs in each VFU (between 1 and 8)"
spatz_pkg.sv.tpl: "// Number of FPUs in each VFU (between 1 and 8)"</t>
  </si>
  <si>
    <t>local_ci.sh runs riscvTests on CS-32B, CS-DEF, CS-SVRF, CS-DBW and spatzBenchmarks also on CS-VTL. Not covered: N_IPU != 1, N_FPU != 4, BUF_FPU off, FPU latencies (identical in every cfg).</t>
  </si>
  <si>
    <t>all configuration sets</t>
  </si>
  <si>
    <t>constrained-random regression</t>
  </si>
  <si>
    <t>T040</t>
  </si>
  <si>
    <t>F040</t>
  </si>
  <si>
    <t>DOUBLE_BW VLSU</t>
  </si>
  <si>
    <t>Verify all memory items with two VLSU interfaces (2*N_FU ports).</t>
  </si>
  <si>
    <t>util/local_ci.sh with spatz_cluster.doublebw.dram</t>
  </si>
  <si>
    <t>Re-run the memory items on CS-DBW; additionally stress VLSU1 write buffering.</t>
  </si>
  <si>
    <t>SPATZ_SPEC.md: "Uses `spatz_doublebw_vlsu` (two VLSU interfaces, `2*N_FU` ports). Requires a package generated with `double_bw` / `spatz_nports = 2*n_fpu`"</t>
  </si>
  <si>
    <t>riscvTests and spatzBenchmarks run on the doublebw config. Not covered: interface-1 buffering by construction.</t>
  </si>
  <si>
    <t>CS-DBW</t>
  </si>
  <si>
    <t>T041</t>
  </si>
  <si>
    <t>F041</t>
  </si>
  <si>
    <t>Ventaglio extension</t>
  </si>
  <si>
    <t>Verify VTL CSRs, vfxmacc.vrf/vfxmul.vrf/vventclr and redirected loads/stores.</t>
  </si>
  <si>
    <t>spatzBenchmarks sp-SpMV, sp-SpMM (ventaglio cfg)</t>
  </si>
  <si>
    <t>Directed and random sparse kernels, every vtlratio/vtlidxw value, vventclr between accumulator groups.</t>
  </si>
  <si>
    <t>SPATZ_SPEC.md: "The default standalone configuration does **not** enable it."</t>
  </si>
  <si>
    <t>Only the sparse benchmarks on spatz_cluster.ventaglio.dram. Not covered: CSR semantics, every ratio/index width.</t>
  </si>
  <si>
    <t>CS-VTL</t>
  </si>
  <si>
    <t>Status summary</t>
  </si>
  <si>
    <t>Passed</t>
  </si>
  <si>
    <t>Total</t>
  </si>
  <si>
    <t>Name</t>
  </si>
  <si>
    <t>Type</t>
  </si>
  <si>
    <t>Definition</t>
  </si>
  <si>
    <t>Legal range</t>
  </si>
  <si>
    <t>Default (spatz_cluster.default.dram.hjson)</t>
  </si>
  <si>
    <t>Knob (hjson key)</t>
  </si>
  <si>
    <t>Old regression values</t>
  </si>
  <si>
    <t>Planned sweep</t>
  </si>
  <si>
    <t>Verification status</t>
  </si>
  <si>
    <t>VLEN</t>
  </si>
  <si>
    <t>localparam int unsigned (spatz_pkg)</t>
  </si>
  <si>
    <t>Bits per vector register</t>
  </si>
  <si>
    <t>power of two, &gt;= N_FU*ELEN</t>
  </si>
  <si>
    <t>512</t>
  </si>
  <si>
    <t>vlen</t>
  </si>
  <si>
    <t>512, 256</t>
  </si>
  <si>
    <t>256, 512, 1024</t>
  </si>
  <si>
    <t>Swept</t>
  </si>
  <si>
    <t>N_FPU</t>
  </si>
  <si>
    <t>FPUs in the VFU</t>
  </si>
  <si>
    <t>0..8, N_FU power of two</t>
  </si>
  <si>
    <t>4</t>
  </si>
  <si>
    <t>n_fpu</t>
  </si>
  <si>
    <t>2, 4, 8</t>
  </si>
  <si>
    <t>Fixed - untested</t>
  </si>
  <si>
    <t>N_IPU</t>
  </si>
  <si>
    <t>Integer units in the VFU</t>
  </si>
  <si>
    <t>1..8</t>
  </si>
  <si>
    <t>1</t>
  </si>
  <si>
    <t>n_ipu</t>
  </si>
  <si>
    <t>1, 4</t>
  </si>
  <si>
    <t>RVF / RVD (ELEN)</t>
  </si>
  <si>
    <t>localparam bit (spatz_pkg)</t>
  </si>
  <si>
    <t>FP32/FP64 support, ELEN = RVD ? 64 : 32</t>
  </si>
  <si>
    <t>isa with f / d</t>
  </si>
  <si>
    <t>1 / 1 (ELEN 64)</t>
  </si>
  <si>
    <t>cores[0].isa, spatz_fpu</t>
  </si>
  <si>
    <t>rv32imafd, rv32imaf</t>
  </si>
  <si>
    <t>NumVLSUInterfaces / double_bw</t>
  </si>
  <si>
    <t>localparam + define DOUBLE_BW</t>
  </si>
  <si>
    <t>VLSU interfaces (spatz_nports / n_fpu)</t>
  </si>
  <si>
    <t>1, 2</t>
  </si>
  <si>
    <t>double_bw, spatz_nports</t>
  </si>
  <si>
    <t>NrParallelInstructions</t>
  </si>
  <si>
    <t>localparam (spatz_pkg)</t>
  </si>
  <si>
    <t>Max in-flight vector instructions</t>
  </si>
  <si>
    <t>4 (8 with VENTAGLIO)</t>
  </si>
  <si>
    <t>ventaglio</t>
  </si>
  <si>
    <t>4, 8</t>
  </si>
  <si>
    <t>By construction</t>
  </si>
  <si>
    <t>NrVRFBanks</t>
  </si>
  <si>
    <t>VRF banks</t>
  </si>
  <si>
    <t>4 (hard-coded)</t>
  </si>
  <si>
    <t>mempool</t>
  </si>
  <si>
    <t>template switch</t>
  </si>
  <si>
    <t>MemPool integration (out-of-order memory, extra ports)</t>
  </si>
  <si>
    <t>0, 1</t>
  </si>
  <si>
    <t>0</t>
  </si>
  <si>
    <t>0 (out of scope)</t>
  </si>
  <si>
    <t>NrMemPorts</t>
  </si>
  <si>
    <t>parameter int unsigned (spatz)</t>
  </si>
  <si>
    <t>VLSU memory ports</t>
  </si>
  <si>
    <t>spatz_nports</t>
  </si>
  <si>
    <t>RegisterRsp</t>
  </si>
  <si>
    <t>parameter bit (spatz)</t>
  </si>
  <si>
    <t>Unused by the controller</t>
  </si>
  <si>
    <t>timing.register_offload_rsp</t>
  </si>
  <si>
    <t>NumOutstandingLoads</t>
  </si>
  <si>
    <t>Outstanding FP LSU requests</t>
  </si>
  <si>
    <t>&gt;= 1</t>
  </si>
  <si>
    <t>cores[i].num_spatz_outstanding_loads</t>
  </si>
  <si>
    <t>1, 4, 8</t>
  </si>
  <si>
    <t>FPUImplementation.PipeRegs</t>
  </si>
  <si>
    <t>fpnew_pkg::fpu_implementation_t</t>
  </si>
  <si>
    <t>FPnew pipeline registers per opgroup and format</t>
  </si>
  <si>
    <t>&gt;= 0</t>
  </si>
  <si>
    <t>ADDMUL 1/2/0/0/0/0, NONCOMP 1, CONV 2, DOTP 2</t>
  </si>
  <si>
    <t>timing.lat_*</t>
  </si>
  <si>
    <t>default only</t>
  </si>
  <si>
    <t>0, default, 4</t>
  </si>
  <si>
    <t>FPUImplementation.PipeConfig</t>
  </si>
  <si>
    <t>fpnew_pkg::pipe_config_t</t>
  </si>
  <si>
    <t>Pipeline register placement</t>
  </si>
  <si>
    <t>BEFORE, AFTER, INSIDE, DISTRIBUTED</t>
  </si>
  <si>
    <t>BEFORE</t>
  </si>
  <si>
    <t>timing.fpu_pipe_config</t>
  </si>
  <si>
    <t>BEFORE, DISTRIBUTED</t>
  </si>
  <si>
    <t>FPUImplementation.UnitTypes</t>
  </si>
  <si>
    <t>FPnew unit types</t>
  </si>
  <si>
    <t>hard-coded in wrapper</t>
  </si>
  <si>
    <t>MERGED/DISABLED/PARALLEL/MERGED/MERGED</t>
  </si>
  <si>
    <t>default</t>
  </si>
  <si>
    <t>BUF_FPU</t>
  </si>
  <si>
    <t>define</t>
  </si>
  <si>
    <t>FIFO on the VFU -&gt; VRF write path</t>
  </si>
  <si>
    <t>defined / not defined</t>
  </si>
  <si>
    <t>defined (buf_fpu: 1)</t>
  </si>
  <si>
    <t>buf_fpu</t>
  </si>
  <si>
    <t>defined</t>
  </si>
  <si>
    <t>defined, not defined</t>
  </si>
  <si>
    <t>VENTAGLIO</t>
  </si>
  <si>
    <t>Ventaglio sparse unit</t>
  </si>
  <si>
    <t>not defined</t>
  </si>
  <si>
    <t>both (CS-VTL benchmarks only)</t>
  </si>
  <si>
    <t>both</t>
  </si>
  <si>
    <t>data_width</t>
  </si>
  <si>
    <t>type width</t>
  </si>
  <si>
    <t>Width of data_t (must equal ELEN)</t>
  </si>
  <si>
    <t>64</t>
  </si>
  <si>
    <t>64, 32</t>
  </si>
  <si>
    <t>addr_width</t>
  </si>
  <si>
    <t>Width of addr_t</t>
  </si>
  <si>
    <t>32 recommended</t>
  </si>
  <si>
    <t>32</t>
  </si>
  <si>
    <t>Configuration sets (referenced by the Configurations column)</t>
  </si>
  <si>
    <t>Set ID</t>
  </si>
  <si>
    <t>Source (hw/system/spatz_cluster/cfg/)</t>
  </si>
  <si>
    <t>Difference from CS-DEF</t>
  </si>
  <si>
    <t>In old regression (util/local_ci.sh)</t>
  </si>
  <si>
    <t>CS-DEF</t>
  </si>
  <si>
    <t>spatz_cluster.default.dram.hjson</t>
  </si>
  <si>
    <t>Default configuration</t>
  </si>
  <si>
    <t>yes</t>
  </si>
  <si>
    <t>CS-SVRF</t>
  </si>
  <si>
    <t>spatz_cluster.smallvrf.dram.hjson</t>
  </si>
  <si>
    <t>VLEN = 256</t>
  </si>
  <si>
    <t>CS-32B</t>
  </si>
  <si>
    <t>spatz_cluster.32b.dram.hjson</t>
  </si>
  <si>
    <t>rv32imaf, ELEN = 32, data_width = 32</t>
  </si>
  <si>
    <t>spatz_cluster.doublebw.dram.hjson</t>
  </si>
  <si>
    <t>double_bw, spatz_nports = 8</t>
  </si>
  <si>
    <t>spatz_cluster.ventaglio.dram.hjson</t>
  </si>
  <si>
    <t>benchmarks only</t>
  </si>
  <si>
    <t>CS-4IPU</t>
  </si>
  <si>
    <t>spatz_cluster.4ipu.dram.hjson</t>
  </si>
  <si>
    <t>n_ipu = 4</t>
  </si>
  <si>
    <t>no (exists, not in local_ci.sh)</t>
  </si>
  <si>
    <t>CS-NOBUF</t>
  </si>
  <si>
    <t>to be created</t>
  </si>
  <si>
    <t>default with buf_fpu = 0</t>
  </si>
  <si>
    <t>no</t>
  </si>
  <si>
    <t>CS-LAT</t>
  </si>
  <si>
    <t>default with different timing.lat_* and fpu_pipe_config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</si>
</sst>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b val="0"/>
      <i val="0"/>
      <sz val="11"/>
      <color theme="1"/>
      <name val="Calibri"/>
      <scheme val="minor"/>
    </font>
    <font>
      <b/>
      <i val="0"/>
      <sz val="10"/>
      <color rgb="FFFFFFFF"/>
      <name val="Arial"/>
    </font>
    <font>
      <b val="0"/>
      <i val="0"/>
      <sz val="10"/>
      <color auto="1"/>
      <name val="Arial"/>
    </font>
    <font>
      <b/>
      <i val="0"/>
      <sz val="10"/>
      <color auto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0" fillId="0" borderId="0"/>
  </cellStyleXfs>
  <cellXfs count="9">
    <xf numFmtId="0" fontId="0" fillId="0" borderId="0" xfId="0"/>
    <xf numFmtId="0" fontId="1" fillId="2" borderId="1" xfId="0" quotePrefix="0">
      <alignment vertical="top" wrapText="1"/>
    </xf>
    <xf numFmtId="0" fontId="2" fillId="0" borderId="1" xfId="0" quotePrefix="0">
      <alignment vertical="top" wrapText="1"/>
    </xf>
    <xf numFmtId="0" fontId="2" fillId="3" borderId="1" xfId="0" quotePrefix="0">
      <alignment vertical="top" wrapText="1"/>
    </xf>
    <xf numFmtId="0" fontId="2" fillId="4" borderId="1" xfId="0" quotePrefix="0">
      <alignment vertical="top" wrapText="1"/>
    </xf>
    <xf numFmtId="0" fontId="3" fillId="0" borderId="0" xfId="0" quotePrefix="0"/>
    <xf numFmtId="0" fontId="2" fillId="0" borderId="0" xfId="0" quotePrefix="0"/>
    <xf numFmtId="0" fontId="2" fillId="5" borderId="1" xfId="0" quotePrefix="0">
      <alignment vertical="top" wrapText="1"/>
    </xf>
    <xf numFmtId="0" fontId="2" fillId="6" borderId="1" xfId="0" quotePrefix="0">
      <alignment vertical="top" wrapText="1"/>
    </xf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Relationship Id="rId6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amp;#xFF2D;&amp;amp;#xFF33; &amp;amp;#xFF30;&amp;amp;#x30B4;&amp;amp;#x30B7;&amp;amp;#x30C3;&amp;amp;#x30AF;"/>
        <a:font script="Hang" typeface="&amp;amp;#xB9D1;&amp;amp;#xC740; &amp;amp;#xACE0;&amp;amp;#xB515;"/>
        <a:font script="Hans" typeface="&amp;amp;#x5B8B;&amp;amp;#x4F53;"/>
        <a:font script="Hant" typeface="&amp;amp;#x65B0;&amp;amp;#x7D30;&amp;amp;#x660E;&amp;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amp;#xFF2D;&amp;amp;#xFF33; &amp;amp;#xFF30;&amp;amp;#x30B4;&amp;amp;#x30B7;&amp;amp;#x30C3;&amp;amp;#x30AF;"/>
        <a:font script="Hang" typeface="&amp;amp;#xB9D1;&amp;amp;#xC740; &amp;amp;#xACE0;&amp;amp;#xB515;"/>
        <a:font script="Hans" typeface="&amp;amp;#x5B8B;&amp;amp;#x4F53;"/>
        <a:font script="Hant" typeface="&amp;amp;#x65B0;&amp;amp;#x7D30;&amp;amp;#x660E;&amp;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5F55432-411B-413B-B2D5-F9375A619323}" mc:Ignorable="x14ac xr xr2 xr3">
  <dimension ref="A1:K49"/>
  <sheetViews>
    <sheetView workbookViewId="0" tabSelected="1">
      <pane xSplit="2" ySplit="1" topLeftCell="C2" activePane="bottomRight" state="frozen"/>
      <selection pane="bottomLeft" activeCell="A2" sqref="A2"/>
      <selection pane="topRight" activeCell="C1" sqref="C1"/>
      <selection pane="bottomRight" activeCell="C23" sqref="C23"/>
    </sheetView>
  </sheetViews>
  <sheetFormatPr defaultRowHeight="15" defaultColWidth="9.140625" customHeight="1"/>
  <cols>
    <col min="1" max="1" width="9.00390625" customWidth="1"/>
    <col min="2" max="2" width="10.00390625" customWidth="1"/>
    <col min="3" max="3" width="26.00390625" customWidth="1"/>
    <col min="4" max="4" width="46.00390625" customWidth="1"/>
    <col min="5" max="5" width="30.00390625" customWidth="1"/>
    <col min="6" max="6" width="52.00390625" customWidth="1"/>
    <col min="7" max="7" width="13.00390625" customWidth="1"/>
    <col min="8" max="8" width="60.00390625" customWidth="1"/>
    <col min="9" max="9" width="52.00390625" customWidth="1"/>
    <col min="10" max="10" width="20.00390625" customWidth="1"/>
    <col min="11" max="11" width="24.0039062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 t="s">
        <v>17</v>
      </c>
      <c r="H2" s="2" t="s">
        <v>18</v>
      </c>
      <c r="I2" s="2" t="s">
        <v>19</v>
      </c>
      <c r="J2" s="2"/>
      <c r="K2" s="2" t="s">
        <v>20</v>
      </c>
    </row>
    <row r="3" ht="15" customHeight="1">
      <c r="A3" s="2" t="s">
        <v>21</v>
      </c>
      <c r="B3" s="2" t="s">
        <v>22</v>
      </c>
      <c r="C3" s="2" t="s">
        <v>23</v>
      </c>
      <c r="D3" s="2" t="s">
        <v>24</v>
      </c>
      <c r="E3" s="2" t="s">
        <v>15</v>
      </c>
      <c r="F3" s="2" t="s">
        <v>25</v>
      </c>
      <c r="G3" s="3" t="s">
        <v>17</v>
      </c>
      <c r="H3" s="2" t="s">
        <v>26</v>
      </c>
      <c r="I3" s="2" t="s">
        <v>27</v>
      </c>
      <c r="J3" s="2"/>
      <c r="K3" s="2" t="s">
        <v>28</v>
      </c>
    </row>
    <row r="4" ht="15" customHeight="1">
      <c r="A4" s="2" t="s">
        <v>29</v>
      </c>
      <c r="B4" s="2" t="s">
        <v>30</v>
      </c>
      <c r="C4" s="2" t="s">
        <v>31</v>
      </c>
      <c r="D4" s="2" t="s">
        <v>32</v>
      </c>
      <c r="E4" s="2" t="s">
        <v>15</v>
      </c>
      <c r="F4" s="2" t="s">
        <v>33</v>
      </c>
      <c r="G4" s="3" t="s">
        <v>17</v>
      </c>
      <c r="H4" s="2" t="s">
        <v>34</v>
      </c>
      <c r="I4" s="2" t="s">
        <v>35</v>
      </c>
      <c r="J4" s="2"/>
      <c r="K4" s="2" t="s">
        <v>20</v>
      </c>
    </row>
    <row r="5" ht="15" customHeight="1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4" t="s">
        <v>42</v>
      </c>
      <c r="H5" s="2" t="s">
        <v>43</v>
      </c>
      <c r="I5" s="2" t="s">
        <v>44</v>
      </c>
      <c r="J5" s="2"/>
      <c r="K5" s="2" t="s">
        <v>45</v>
      </c>
    </row>
    <row r="6" ht="15" customHeight="1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4" t="s">
        <v>42</v>
      </c>
      <c r="H6" s="2" t="s">
        <v>52</v>
      </c>
      <c r="I6" s="2" t="s">
        <v>53</v>
      </c>
      <c r="J6" s="2"/>
      <c r="K6" s="2" t="s">
        <v>20</v>
      </c>
    </row>
    <row r="7" ht="15" customHeight="1">
      <c r="A7" s="2" t="s">
        <v>54</v>
      </c>
      <c r="B7" s="2" t="s">
        <v>55</v>
      </c>
      <c r="C7" s="2" t="s">
        <v>56</v>
      </c>
      <c r="D7" s="2" t="s">
        <v>57</v>
      </c>
      <c r="E7" s="2" t="s">
        <v>15</v>
      </c>
      <c r="F7" s="2" t="s">
        <v>58</v>
      </c>
      <c r="G7" s="4" t="s">
        <v>42</v>
      </c>
      <c r="H7" s="2" t="s">
        <v>59</v>
      </c>
      <c r="I7" s="2" t="s">
        <v>60</v>
      </c>
      <c r="J7" s="2"/>
      <c r="K7" s="2" t="s">
        <v>20</v>
      </c>
    </row>
    <row r="8" ht="15" customHeight="1">
      <c r="A8" s="2" t="s">
        <v>61</v>
      </c>
      <c r="B8" s="2" t="s">
        <v>62</v>
      </c>
      <c r="C8" s="2" t="s">
        <v>63</v>
      </c>
      <c r="D8" s="2" t="s">
        <v>64</v>
      </c>
      <c r="E8" s="2" t="s">
        <v>15</v>
      </c>
      <c r="F8" s="2" t="s">
        <v>65</v>
      </c>
      <c r="G8" s="3" t="s">
        <v>17</v>
      </c>
      <c r="H8" s="2" t="s">
        <v>66</v>
      </c>
      <c r="I8" s="2" t="s">
        <v>67</v>
      </c>
      <c r="J8" s="2"/>
      <c r="K8" s="2" t="s">
        <v>68</v>
      </c>
    </row>
    <row r="9" ht="15" customHeight="1">
      <c r="A9" s="2" t="s">
        <v>69</v>
      </c>
      <c r="B9" s="2" t="s">
        <v>70</v>
      </c>
      <c r="C9" s="2" t="s">
        <v>71</v>
      </c>
      <c r="D9" s="2" t="s">
        <v>72</v>
      </c>
      <c r="E9" s="2" t="s">
        <v>73</v>
      </c>
      <c r="F9" s="2" t="s">
        <v>74</v>
      </c>
      <c r="G9" s="4" t="s">
        <v>42</v>
      </c>
      <c r="H9" s="2" t="s">
        <v>75</v>
      </c>
      <c r="I9" s="2" t="s">
        <v>76</v>
      </c>
      <c r="J9" s="2"/>
      <c r="K9" s="2" t="s">
        <v>20</v>
      </c>
    </row>
    <row r="10" ht="15" customHeight="1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15</v>
      </c>
      <c r="F10" s="2" t="s">
        <v>81</v>
      </c>
      <c r="G10" s="3" t="s">
        <v>17</v>
      </c>
      <c r="H10" s="2" t="s">
        <v>82</v>
      </c>
      <c r="I10" s="2" t="s">
        <v>83</v>
      </c>
      <c r="J10" s="2"/>
      <c r="K10" s="2" t="s">
        <v>20</v>
      </c>
    </row>
    <row r="11" ht="15" customHeight="1">
      <c r="A11" s="2" t="s">
        <v>84</v>
      </c>
      <c r="B11" s="2" t="s">
        <v>85</v>
      </c>
      <c r="C11" s="2" t="s">
        <v>86</v>
      </c>
      <c r="D11" s="2" t="s">
        <v>87</v>
      </c>
      <c r="E11" s="2" t="s">
        <v>15</v>
      </c>
      <c r="F11" s="2" t="s">
        <v>88</v>
      </c>
      <c r="G11" s="3" t="s">
        <v>17</v>
      </c>
      <c r="H11" s="2" t="s">
        <v>89</v>
      </c>
      <c r="I11" s="2" t="s">
        <v>90</v>
      </c>
      <c r="J11" s="2"/>
      <c r="K11" s="2" t="s">
        <v>91</v>
      </c>
    </row>
    <row r="12" ht="15" customHeight="1">
      <c r="A12" s="2" t="s">
        <v>92</v>
      </c>
      <c r="B12" s="2" t="s">
        <v>93</v>
      </c>
      <c r="C12" s="2" t="s">
        <v>94</v>
      </c>
      <c r="D12" s="2" t="s">
        <v>95</v>
      </c>
      <c r="E12" s="2" t="s">
        <v>15</v>
      </c>
      <c r="F12" s="2" t="s">
        <v>96</v>
      </c>
      <c r="G12" s="3" t="s">
        <v>17</v>
      </c>
      <c r="H12" s="2" t="s">
        <v>97</v>
      </c>
      <c r="I12" s="2" t="s">
        <v>98</v>
      </c>
      <c r="J12" s="2"/>
      <c r="K12" s="2" t="s">
        <v>91</v>
      </c>
    </row>
    <row r="13" ht="15" customHeight="1">
      <c r="A13" s="2" t="s">
        <v>99</v>
      </c>
      <c r="B13" s="2" t="s">
        <v>100</v>
      </c>
      <c r="C13" s="2" t="s">
        <v>101</v>
      </c>
      <c r="D13" s="2" t="s">
        <v>102</v>
      </c>
      <c r="E13" s="2" t="s">
        <v>103</v>
      </c>
      <c r="F13" s="2" t="s">
        <v>104</v>
      </c>
      <c r="G13" s="4" t="s">
        <v>42</v>
      </c>
      <c r="H13" s="2" t="s">
        <v>105</v>
      </c>
      <c r="I13" s="2" t="s">
        <v>106</v>
      </c>
      <c r="J13" s="2"/>
      <c r="K13" s="2" t="s">
        <v>91</v>
      </c>
    </row>
    <row r="14" ht="15" customHeight="1">
      <c r="A14" s="2" t="s">
        <v>107</v>
      </c>
      <c r="B14" s="2" t="s">
        <v>108</v>
      </c>
      <c r="C14" s="2" t="s">
        <v>109</v>
      </c>
      <c r="D14" s="2" t="s">
        <v>110</v>
      </c>
      <c r="E14" s="2" t="s">
        <v>111</v>
      </c>
      <c r="F14" s="2" t="s">
        <v>112</v>
      </c>
      <c r="G14" s="4" t="s">
        <v>42</v>
      </c>
      <c r="H14" s="2" t="s">
        <v>113</v>
      </c>
      <c r="I14" s="2" t="s">
        <v>114</v>
      </c>
      <c r="J14" s="2" t="s">
        <v>115</v>
      </c>
      <c r="K14" s="2" t="s">
        <v>28</v>
      </c>
    </row>
    <row r="15" ht="15" customHeight="1">
      <c r="A15" s="2" t="s">
        <v>116</v>
      </c>
      <c r="B15" s="2" t="s">
        <v>117</v>
      </c>
      <c r="C15" s="2" t="s">
        <v>118</v>
      </c>
      <c r="D15" s="2" t="s">
        <v>119</v>
      </c>
      <c r="E15" s="2" t="s">
        <v>15</v>
      </c>
      <c r="F15" s="2" t="s">
        <v>120</v>
      </c>
      <c r="G15" s="3" t="s">
        <v>17</v>
      </c>
      <c r="H15" s="2" t="s">
        <v>121</v>
      </c>
      <c r="I15" s="2" t="s">
        <v>122</v>
      </c>
      <c r="J15" s="2"/>
      <c r="K15" s="2" t="s">
        <v>91</v>
      </c>
    </row>
    <row r="16" ht="15" customHeight="1">
      <c r="A16" s="2" t="s">
        <v>123</v>
      </c>
      <c r="B16" s="2" t="s">
        <v>124</v>
      </c>
      <c r="C16" s="2" t="s">
        <v>125</v>
      </c>
      <c r="D16" s="2" t="s">
        <v>126</v>
      </c>
      <c r="E16" s="2" t="s">
        <v>127</v>
      </c>
      <c r="F16" s="2" t="s">
        <v>128</v>
      </c>
      <c r="G16" s="4" t="s">
        <v>42</v>
      </c>
      <c r="H16" s="2" t="s">
        <v>129</v>
      </c>
      <c r="I16" s="2" t="s">
        <v>130</v>
      </c>
      <c r="J16" s="2" t="s">
        <v>115</v>
      </c>
      <c r="K16" s="2" t="s">
        <v>28</v>
      </c>
    </row>
    <row r="17" ht="15" customHeight="1">
      <c r="A17" s="2" t="s">
        <v>131</v>
      </c>
      <c r="B17" s="2" t="s">
        <v>132</v>
      </c>
      <c r="C17" s="2" t="s">
        <v>133</v>
      </c>
      <c r="D17" s="2" t="s">
        <v>134</v>
      </c>
      <c r="E17" s="2" t="s">
        <v>15</v>
      </c>
      <c r="F17" s="2" t="s">
        <v>135</v>
      </c>
      <c r="G17" s="3" t="s">
        <v>17</v>
      </c>
      <c r="H17" s="2" t="s">
        <v>136</v>
      </c>
      <c r="I17" s="2" t="s">
        <v>137</v>
      </c>
      <c r="J17" s="2"/>
      <c r="K17" s="2" t="s">
        <v>28</v>
      </c>
    </row>
    <row r="18" ht="15" customHeight="1">
      <c r="A18" s="2" t="s">
        <v>138</v>
      </c>
      <c r="B18" s="2" t="s">
        <v>139</v>
      </c>
      <c r="C18" s="2" t="s">
        <v>140</v>
      </c>
      <c r="D18" s="2" t="s">
        <v>141</v>
      </c>
      <c r="E18" s="2" t="s">
        <v>142</v>
      </c>
      <c r="F18" s="2" t="s">
        <v>143</v>
      </c>
      <c r="G18" s="4" t="s">
        <v>42</v>
      </c>
      <c r="H18" s="2" t="s">
        <v>144</v>
      </c>
      <c r="I18" s="2" t="s">
        <v>145</v>
      </c>
      <c r="J18" s="2" t="s">
        <v>115</v>
      </c>
      <c r="K18" s="2" t="s">
        <v>28</v>
      </c>
    </row>
    <row r="19" ht="15" customHeight="1">
      <c r="A19" s="2" t="s">
        <v>146</v>
      </c>
      <c r="B19" s="2" t="s">
        <v>147</v>
      </c>
      <c r="C19" s="2" t="s">
        <v>148</v>
      </c>
      <c r="D19" s="2" t="s">
        <v>149</v>
      </c>
      <c r="E19" s="2" t="s">
        <v>150</v>
      </c>
      <c r="F19" s="2" t="s">
        <v>151</v>
      </c>
      <c r="G19" s="4" t="s">
        <v>42</v>
      </c>
      <c r="H19" s="2" t="s">
        <v>152</v>
      </c>
      <c r="I19" s="2" t="s">
        <v>153</v>
      </c>
      <c r="J19" s="2" t="s">
        <v>115</v>
      </c>
      <c r="K19" s="2" t="s">
        <v>28</v>
      </c>
    </row>
    <row r="20" ht="15" customHeight="1">
      <c r="A20" s="2" t="s">
        <v>154</v>
      </c>
      <c r="B20" s="2" t="s">
        <v>155</v>
      </c>
      <c r="C20" s="2" t="s">
        <v>156</v>
      </c>
      <c r="D20" s="2" t="s">
        <v>157</v>
      </c>
      <c r="E20" s="2" t="s">
        <v>158</v>
      </c>
      <c r="F20" s="2" t="s">
        <v>159</v>
      </c>
      <c r="G20" s="4" t="s">
        <v>42</v>
      </c>
      <c r="H20" s="2" t="s">
        <v>160</v>
      </c>
      <c r="I20" s="2" t="s">
        <v>161</v>
      </c>
      <c r="J20" s="2" t="s">
        <v>115</v>
      </c>
      <c r="K20" s="2" t="s">
        <v>28</v>
      </c>
    </row>
    <row r="21" ht="15" customHeight="1">
      <c r="A21" s="2" t="s">
        <v>162</v>
      </c>
      <c r="B21" s="2" t="s">
        <v>163</v>
      </c>
      <c r="C21" s="2" t="s">
        <v>164</v>
      </c>
      <c r="D21" s="2" t="s">
        <v>165</v>
      </c>
      <c r="E21" s="2" t="s">
        <v>15</v>
      </c>
      <c r="F21" s="2" t="s">
        <v>166</v>
      </c>
      <c r="G21" s="3" t="s">
        <v>17</v>
      </c>
      <c r="H21" s="2" t="s">
        <v>167</v>
      </c>
      <c r="I21" s="2" t="s">
        <v>168</v>
      </c>
      <c r="J21" s="2"/>
      <c r="K21" s="2" t="s">
        <v>28</v>
      </c>
    </row>
    <row r="22" ht="15" customHeight="1">
      <c r="A22" s="2" t="s">
        <v>169</v>
      </c>
      <c r="B22" s="2" t="s">
        <v>170</v>
      </c>
      <c r="C22" s="2" t="s">
        <v>171</v>
      </c>
      <c r="D22" s="2" t="s">
        <v>172</v>
      </c>
      <c r="E22" s="2" t="s">
        <v>173</v>
      </c>
      <c r="F22" s="2" t="s">
        <v>174</v>
      </c>
      <c r="G22" s="4" t="s">
        <v>42</v>
      </c>
      <c r="H22" s="2" t="s">
        <v>175</v>
      </c>
      <c r="I22" s="2" t="s">
        <v>176</v>
      </c>
      <c r="J22" s="2" t="s">
        <v>115</v>
      </c>
      <c r="K22" s="2" t="s">
        <v>28</v>
      </c>
    </row>
    <row r="23" ht="15" customHeight="1">
      <c r="A23" s="2" t="s">
        <v>177</v>
      </c>
      <c r="B23" s="2" t="s">
        <v>178</v>
      </c>
      <c r="C23" s="2" t="s">
        <v>179</v>
      </c>
      <c r="D23" s="2" t="s">
        <v>180</v>
      </c>
      <c r="E23" s="2" t="s">
        <v>181</v>
      </c>
      <c r="F23" s="2" t="s">
        <v>182</v>
      </c>
      <c r="G23" s="4" t="s">
        <v>42</v>
      </c>
      <c r="H23" s="2" t="s">
        <v>183</v>
      </c>
      <c r="I23" s="2" t="s">
        <v>184</v>
      </c>
      <c r="J23" s="2" t="s">
        <v>115</v>
      </c>
      <c r="K23" s="2" t="s">
        <v>28</v>
      </c>
    </row>
    <row r="24" ht="15" customHeight="1">
      <c r="A24" s="2" t="s">
        <v>185</v>
      </c>
      <c r="B24" s="2" t="s">
        <v>186</v>
      </c>
      <c r="C24" s="2" t="s">
        <v>187</v>
      </c>
      <c r="D24" s="2" t="s">
        <v>188</v>
      </c>
      <c r="E24" s="2" t="s">
        <v>189</v>
      </c>
      <c r="F24" s="2" t="s">
        <v>190</v>
      </c>
      <c r="G24" s="4" t="s">
        <v>42</v>
      </c>
      <c r="H24" s="2" t="s">
        <v>191</v>
      </c>
      <c r="I24" s="2" t="s">
        <v>192</v>
      </c>
      <c r="J24" s="2" t="s">
        <v>115</v>
      </c>
      <c r="K24" s="2" t="s">
        <v>45</v>
      </c>
    </row>
    <row r="25" ht="15" customHeight="1">
      <c r="A25" s="2" t="s">
        <v>193</v>
      </c>
      <c r="B25" s="2" t="s">
        <v>194</v>
      </c>
      <c r="C25" s="2" t="s">
        <v>195</v>
      </c>
      <c r="D25" s="2" t="s">
        <v>196</v>
      </c>
      <c r="E25" s="2" t="s">
        <v>197</v>
      </c>
      <c r="F25" s="2" t="s">
        <v>198</v>
      </c>
      <c r="G25" s="4" t="s">
        <v>42</v>
      </c>
      <c r="H25" s="2" t="s">
        <v>199</v>
      </c>
      <c r="I25" s="2" t="s">
        <v>200</v>
      </c>
      <c r="J25" s="2" t="s">
        <v>115</v>
      </c>
      <c r="K25" s="2" t="s">
        <v>28</v>
      </c>
    </row>
    <row r="26" ht="15" customHeight="1">
      <c r="A26" s="2" t="s">
        <v>201</v>
      </c>
      <c r="B26" s="2" t="s">
        <v>202</v>
      </c>
      <c r="C26" s="2" t="s">
        <v>203</v>
      </c>
      <c r="D26" s="2" t="s">
        <v>204</v>
      </c>
      <c r="E26" s="2" t="s">
        <v>205</v>
      </c>
      <c r="F26" s="2" t="s">
        <v>206</v>
      </c>
      <c r="G26" s="4" t="s">
        <v>42</v>
      </c>
      <c r="H26" s="2" t="s">
        <v>207</v>
      </c>
      <c r="I26" s="2" t="s">
        <v>208</v>
      </c>
      <c r="J26" s="2" t="s">
        <v>115</v>
      </c>
      <c r="K26" s="2" t="s">
        <v>28</v>
      </c>
    </row>
    <row r="27" ht="15" customHeight="1">
      <c r="A27" s="2" t="s">
        <v>209</v>
      </c>
      <c r="B27" s="2" t="s">
        <v>210</v>
      </c>
      <c r="C27" s="2" t="s">
        <v>211</v>
      </c>
      <c r="D27" s="2" t="s">
        <v>212</v>
      </c>
      <c r="E27" s="2" t="s">
        <v>213</v>
      </c>
      <c r="F27" s="2" t="s">
        <v>214</v>
      </c>
      <c r="G27" s="4" t="s">
        <v>42</v>
      </c>
      <c r="H27" s="2" t="s">
        <v>215</v>
      </c>
      <c r="I27" s="2" t="s">
        <v>216</v>
      </c>
      <c r="J27" s="2" t="s">
        <v>115</v>
      </c>
      <c r="K27" s="2" t="s">
        <v>28</v>
      </c>
    </row>
    <row r="28" ht="15" customHeight="1">
      <c r="A28" s="2" t="s">
        <v>217</v>
      </c>
      <c r="B28" s="2" t="s">
        <v>218</v>
      </c>
      <c r="C28" s="2" t="s">
        <v>219</v>
      </c>
      <c r="D28" s="2" t="s">
        <v>220</v>
      </c>
      <c r="E28" s="2" t="s">
        <v>221</v>
      </c>
      <c r="F28" s="2" t="s">
        <v>222</v>
      </c>
      <c r="G28" s="4" t="s">
        <v>42</v>
      </c>
      <c r="H28" s="2" t="s">
        <v>223</v>
      </c>
      <c r="I28" s="2" t="s">
        <v>224</v>
      </c>
      <c r="J28" s="2" t="s">
        <v>115</v>
      </c>
      <c r="K28" s="2" t="s">
        <v>28</v>
      </c>
    </row>
    <row r="29" ht="15" customHeight="1">
      <c r="A29" s="2" t="s">
        <v>225</v>
      </c>
      <c r="B29" s="2" t="s">
        <v>226</v>
      </c>
      <c r="C29" s="2" t="s">
        <v>227</v>
      </c>
      <c r="D29" s="2" t="s">
        <v>228</v>
      </c>
      <c r="E29" s="2" t="s">
        <v>229</v>
      </c>
      <c r="F29" s="2" t="s">
        <v>230</v>
      </c>
      <c r="G29" s="4" t="s">
        <v>42</v>
      </c>
      <c r="H29" s="2" t="s">
        <v>231</v>
      </c>
      <c r="I29" s="2" t="s">
        <v>232</v>
      </c>
      <c r="J29" s="2" t="s">
        <v>115</v>
      </c>
      <c r="K29" s="2" t="s">
        <v>28</v>
      </c>
    </row>
    <row r="30" ht="15" customHeight="1">
      <c r="A30" s="2" t="s">
        <v>233</v>
      </c>
      <c r="B30" s="2" t="s">
        <v>234</v>
      </c>
      <c r="C30" s="2" t="s">
        <v>235</v>
      </c>
      <c r="D30" s="2" t="s">
        <v>236</v>
      </c>
      <c r="E30" s="2" t="s">
        <v>237</v>
      </c>
      <c r="F30" s="2" t="s">
        <v>238</v>
      </c>
      <c r="G30" s="4" t="s">
        <v>42</v>
      </c>
      <c r="H30" s="2" t="s">
        <v>239</v>
      </c>
      <c r="I30" s="2" t="s">
        <v>240</v>
      </c>
      <c r="J30" s="2" t="s">
        <v>115</v>
      </c>
      <c r="K30" s="2" t="s">
        <v>28</v>
      </c>
    </row>
    <row r="31" ht="15" customHeight="1">
      <c r="A31" s="2" t="s">
        <v>241</v>
      </c>
      <c r="B31" s="2" t="s">
        <v>242</v>
      </c>
      <c r="C31" s="2" t="s">
        <v>243</v>
      </c>
      <c r="D31" s="2" t="s">
        <v>244</v>
      </c>
      <c r="E31" s="2" t="s">
        <v>245</v>
      </c>
      <c r="F31" s="2" t="s">
        <v>246</v>
      </c>
      <c r="G31" s="4" t="s">
        <v>42</v>
      </c>
      <c r="H31" s="2" t="s">
        <v>247</v>
      </c>
      <c r="I31" s="2" t="s">
        <v>248</v>
      </c>
      <c r="J31" s="2" t="s">
        <v>115</v>
      </c>
      <c r="K31" s="2" t="s">
        <v>28</v>
      </c>
    </row>
    <row r="32" ht="15" customHeight="1">
      <c r="A32" s="2" t="s">
        <v>249</v>
      </c>
      <c r="B32" s="2" t="s">
        <v>250</v>
      </c>
      <c r="C32" s="2" t="s">
        <v>251</v>
      </c>
      <c r="D32" s="2" t="s">
        <v>252</v>
      </c>
      <c r="E32" s="2" t="s">
        <v>253</v>
      </c>
      <c r="F32" s="2" t="s">
        <v>254</v>
      </c>
      <c r="G32" s="4" t="s">
        <v>42</v>
      </c>
      <c r="H32" s="2" t="s">
        <v>255</v>
      </c>
      <c r="I32" s="2" t="s">
        <v>256</v>
      </c>
      <c r="J32" s="2" t="s">
        <v>115</v>
      </c>
      <c r="K32" s="2" t="s">
        <v>28</v>
      </c>
    </row>
    <row r="33" ht="15" customHeight="1">
      <c r="A33" s="2" t="s">
        <v>257</v>
      </c>
      <c r="B33" s="2" t="s">
        <v>258</v>
      </c>
      <c r="C33" s="2" t="s">
        <v>259</v>
      </c>
      <c r="D33" s="2" t="s">
        <v>260</v>
      </c>
      <c r="E33" s="2" t="s">
        <v>15</v>
      </c>
      <c r="F33" s="2" t="s">
        <v>261</v>
      </c>
      <c r="G33" s="3" t="s">
        <v>17</v>
      </c>
      <c r="H33" s="2" t="s">
        <v>262</v>
      </c>
      <c r="I33" s="2" t="s">
        <v>263</v>
      </c>
      <c r="J33" s="2"/>
      <c r="K33" s="2" t="s">
        <v>28</v>
      </c>
    </row>
    <row r="34" ht="15" customHeight="1">
      <c r="A34" s="2" t="s">
        <v>264</v>
      </c>
      <c r="B34" s="2" t="s">
        <v>265</v>
      </c>
      <c r="C34" s="2" t="s">
        <v>266</v>
      </c>
      <c r="D34" s="2" t="s">
        <v>267</v>
      </c>
      <c r="E34" s="2" t="s">
        <v>268</v>
      </c>
      <c r="F34" s="2" t="s">
        <v>269</v>
      </c>
      <c r="G34" s="4" t="s">
        <v>42</v>
      </c>
      <c r="H34" s="2" t="s">
        <v>270</v>
      </c>
      <c r="I34" s="2" t="s">
        <v>271</v>
      </c>
      <c r="J34" s="2" t="s">
        <v>115</v>
      </c>
      <c r="K34" s="2" t="s">
        <v>28</v>
      </c>
    </row>
    <row r="35" ht="15" customHeight="1">
      <c r="A35" s="2" t="s">
        <v>272</v>
      </c>
      <c r="B35" s="2" t="s">
        <v>273</v>
      </c>
      <c r="C35" s="2" t="s">
        <v>274</v>
      </c>
      <c r="D35" s="2" t="s">
        <v>275</v>
      </c>
      <c r="E35" s="2" t="s">
        <v>276</v>
      </c>
      <c r="F35" s="2" t="s">
        <v>277</v>
      </c>
      <c r="G35" s="4" t="s">
        <v>42</v>
      </c>
      <c r="H35" s="2" t="s">
        <v>278</v>
      </c>
      <c r="I35" s="2" t="s">
        <v>279</v>
      </c>
      <c r="J35" s="2"/>
      <c r="K35" s="2" t="s">
        <v>91</v>
      </c>
    </row>
    <row r="36" ht="15" customHeight="1">
      <c r="A36" s="2" t="s">
        <v>280</v>
      </c>
      <c r="B36" s="2" t="s">
        <v>281</v>
      </c>
      <c r="C36" s="2" t="s">
        <v>282</v>
      </c>
      <c r="D36" s="2" t="s">
        <v>283</v>
      </c>
      <c r="E36" s="2" t="s">
        <v>284</v>
      </c>
      <c r="F36" s="2" t="s">
        <v>285</v>
      </c>
      <c r="G36" s="4" t="s">
        <v>42</v>
      </c>
      <c r="H36" s="2" t="s">
        <v>286</v>
      </c>
      <c r="I36" s="2" t="s">
        <v>287</v>
      </c>
      <c r="J36" s="2" t="s">
        <v>115</v>
      </c>
      <c r="K36" s="2" t="s">
        <v>288</v>
      </c>
    </row>
    <row r="37" ht="15" customHeight="1">
      <c r="A37" s="2" t="s">
        <v>289</v>
      </c>
      <c r="B37" s="2" t="s">
        <v>290</v>
      </c>
      <c r="C37" s="2" t="s">
        <v>291</v>
      </c>
      <c r="D37" s="2" t="s">
        <v>292</v>
      </c>
      <c r="E37" s="2" t="s">
        <v>293</v>
      </c>
      <c r="F37" s="2" t="s">
        <v>294</v>
      </c>
      <c r="G37" s="4" t="s">
        <v>42</v>
      </c>
      <c r="H37" s="2" t="s">
        <v>295</v>
      </c>
      <c r="I37" s="2" t="s">
        <v>296</v>
      </c>
      <c r="J37" s="2" t="s">
        <v>297</v>
      </c>
      <c r="K37" s="2" t="s">
        <v>28</v>
      </c>
    </row>
    <row r="38" ht="15" customHeight="1">
      <c r="A38" s="2" t="s">
        <v>298</v>
      </c>
      <c r="B38" s="2" t="s">
        <v>299</v>
      </c>
      <c r="C38" s="2" t="s">
        <v>300</v>
      </c>
      <c r="D38" s="2" t="s">
        <v>301</v>
      </c>
      <c r="E38" s="2" t="s">
        <v>15</v>
      </c>
      <c r="F38" s="2" t="s">
        <v>302</v>
      </c>
      <c r="G38" s="3" t="s">
        <v>17</v>
      </c>
      <c r="H38" s="2" t="s">
        <v>303</v>
      </c>
      <c r="I38" s="2" t="s">
        <v>304</v>
      </c>
      <c r="J38" s="2"/>
      <c r="K38" s="2" t="s">
        <v>68</v>
      </c>
    </row>
    <row r="39" ht="15" customHeight="1">
      <c r="A39" s="2" t="s">
        <v>305</v>
      </c>
      <c r="B39" s="2" t="s">
        <v>306</v>
      </c>
      <c r="C39" s="2" t="s">
        <v>307</v>
      </c>
      <c r="D39" s="2" t="s">
        <v>308</v>
      </c>
      <c r="E39" s="2" t="s">
        <v>15</v>
      </c>
      <c r="F39" s="2" t="s">
        <v>309</v>
      </c>
      <c r="G39" s="3" t="s">
        <v>17</v>
      </c>
      <c r="H39" s="2" t="s">
        <v>310</v>
      </c>
      <c r="I39" s="2" t="s">
        <v>311</v>
      </c>
      <c r="J39" s="2"/>
      <c r="K39" s="2" t="s">
        <v>312</v>
      </c>
    </row>
    <row r="40" ht="15" customHeight="1">
      <c r="A40" s="2" t="s">
        <v>313</v>
      </c>
      <c r="B40" s="2" t="s">
        <v>314</v>
      </c>
      <c r="C40" s="2" t="s">
        <v>315</v>
      </c>
      <c r="D40" s="2" t="s">
        <v>316</v>
      </c>
      <c r="E40" s="2" t="s">
        <v>15</v>
      </c>
      <c r="F40" s="2" t="s">
        <v>317</v>
      </c>
      <c r="G40" s="3" t="s">
        <v>17</v>
      </c>
      <c r="H40" s="2" t="s">
        <v>318</v>
      </c>
      <c r="I40" s="2" t="s">
        <v>319</v>
      </c>
      <c r="J40" s="2" t="s">
        <v>320</v>
      </c>
      <c r="K40" s="2" t="s">
        <v>321</v>
      </c>
    </row>
    <row r="41" ht="15" customHeight="1">
      <c r="A41" s="2" t="s">
        <v>322</v>
      </c>
      <c r="B41" s="2" t="s">
        <v>323</v>
      </c>
      <c r="C41" s="2" t="s">
        <v>324</v>
      </c>
      <c r="D41" s="2" t="s">
        <v>325</v>
      </c>
      <c r="E41" s="2" t="s">
        <v>326</v>
      </c>
      <c r="F41" s="2" t="s">
        <v>327</v>
      </c>
      <c r="G41" s="4" t="s">
        <v>42</v>
      </c>
      <c r="H41" s="2" t="s">
        <v>328</v>
      </c>
      <c r="I41" s="2" t="s">
        <v>329</v>
      </c>
      <c r="J41" s="2" t="s">
        <v>330</v>
      </c>
      <c r="K41" s="2" t="s">
        <v>331</v>
      </c>
    </row>
    <row r="42" ht="15" customHeight="1">
      <c r="A42" s="2" t="s">
        <v>332</v>
      </c>
      <c r="B42" s="2" t="s">
        <v>333</v>
      </c>
      <c r="C42" s="2" t="s">
        <v>334</v>
      </c>
      <c r="D42" s="2" t="s">
        <v>335</v>
      </c>
      <c r="E42" s="2" t="s">
        <v>336</v>
      </c>
      <c r="F42" s="2" t="s">
        <v>337</v>
      </c>
      <c r="G42" s="4" t="s">
        <v>42</v>
      </c>
      <c r="H42" s="2" t="s">
        <v>338</v>
      </c>
      <c r="I42" s="2" t="s">
        <v>339</v>
      </c>
      <c r="J42" s="2" t="s">
        <v>340</v>
      </c>
      <c r="K42" s="2" t="s">
        <v>28</v>
      </c>
    </row>
    <row r="43" ht="15" customHeight="1">
      <c r="A43" s="2" t="s">
        <v>341</v>
      </c>
      <c r="B43" s="2" t="s">
        <v>342</v>
      </c>
      <c r="C43" s="2" t="s">
        <v>343</v>
      </c>
      <c r="D43" s="2" t="s">
        <v>344</v>
      </c>
      <c r="E43" s="2" t="s">
        <v>345</v>
      </c>
      <c r="F43" s="2" t="s">
        <v>346</v>
      </c>
      <c r="G43" s="4" t="s">
        <v>42</v>
      </c>
      <c r="H43" s="2" t="s">
        <v>347</v>
      </c>
      <c r="I43" s="2" t="s">
        <v>348</v>
      </c>
      <c r="J43" s="2" t="s">
        <v>349</v>
      </c>
      <c r="K43" s="2" t="s">
        <v>28</v>
      </c>
    </row>
    <row r="45" ht="15" customHeight="1">
      <c r="C45" s="5" t="s">
        <v>350</v>
      </c>
    </row>
    <row r="46" ht="15" customHeight="1">
      <c r="C46" s="6" t="s">
        <v>17</v>
      </c>
      <c r="D46" s="6">
        <f t="shared" si="0" ref="D46:D48">COUNTIF($G$2:$G$43,C46)</f>
      </c>
    </row>
    <row r="47" ht="15" customHeight="1">
      <c r="C47" s="6" t="s">
        <v>42</v>
      </c>
      <c r="D47" s="6">
        <f t="shared" si="0"/>
      </c>
    </row>
    <row r="48" ht="15" customHeight="1">
      <c r="C48" s="6" t="s">
        <v>351</v>
      </c>
      <c r="D48" s="6">
        <f t="shared" si="0"/>
      </c>
    </row>
    <row r="49" ht="15" customHeight="1">
      <c r="C49" s="5" t="s">
        <v>352</v>
      </c>
      <c r="D49" s="5">
        <f>COUNTA($A$2:$A$43)</f>
      </c>
    </row>
  </sheetData>
  <autoFilter ref="A1:K43"/>
  <dataValidations count="1">
    <dataValidation sqref="G2:G43" type="list">
      <formula1>"Not Started,In Progress,Passed"</formula1>
    </dataValidation>
  </dataValidation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legacyDrawing r:id="rId2"/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4705AB3-A76D-4D2F-8340-EF917F76A3C3}" mc:Ignorable="x14ac xr xr2 xr3">
  <dimension ref="A1:I30"/>
  <sheetViews>
    <sheetView workbookViewId="0">
      <pane xSplit="1" ySplit="1" topLeftCell="B2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9.140625" customHeight="1"/>
  <cols>
    <col min="1" max="1" width="28.00390625" customWidth="1"/>
    <col min="2" max="2" width="30.00390625" customWidth="1"/>
    <col min="3" max="3" width="40.00390625" customWidth="1"/>
    <col min="4" max="4" width="26.00390625" customWidth="1"/>
    <col min="5" max="5" width="30.00390625" customWidth="1"/>
    <col min="6" max="6" width="28.00390625" customWidth="1"/>
    <col min="7" max="7" width="24.00390625" customWidth="1"/>
    <col min="8" max="8" width="22.00390625" customWidth="1"/>
    <col min="9" max="9" width="20.00390625" customWidth="1"/>
  </cols>
  <sheetData>
    <row r="1" ht="15" customHeight="1">
      <c r="A1" s="1" t="s">
        <v>353</v>
      </c>
      <c r="B1" s="1" t="s">
        <v>354</v>
      </c>
      <c r="C1" s="1" t="s">
        <v>355</v>
      </c>
      <c r="D1" s="1" t="s">
        <v>356</v>
      </c>
      <c r="E1" s="1" t="s">
        <v>357</v>
      </c>
      <c r="F1" s="1" t="s">
        <v>358</v>
      </c>
      <c r="G1" s="1" t="s">
        <v>359</v>
      </c>
      <c r="H1" s="1" t="s">
        <v>360</v>
      </c>
      <c r="I1" s="1" t="s">
        <v>361</v>
      </c>
    </row>
    <row r="2" ht="15" customHeight="1">
      <c r="A2" s="2" t="s">
        <v>362</v>
      </c>
      <c r="B2" s="2" t="s">
        <v>363</v>
      </c>
      <c r="C2" s="2" t="s">
        <v>364</v>
      </c>
      <c r="D2" s="2" t="s">
        <v>365</v>
      </c>
      <c r="E2" s="2" t="s">
        <v>366</v>
      </c>
      <c r="F2" s="2" t="s">
        <v>367</v>
      </c>
      <c r="G2" s="2" t="s">
        <v>368</v>
      </c>
      <c r="H2" s="2" t="s">
        <v>369</v>
      </c>
      <c r="I2" s="7" t="s">
        <v>370</v>
      </c>
    </row>
    <row r="3" ht="15" customHeight="1">
      <c r="A3" s="2" t="s">
        <v>371</v>
      </c>
      <c r="B3" s="2" t="s">
        <v>363</v>
      </c>
      <c r="C3" s="2" t="s">
        <v>372</v>
      </c>
      <c r="D3" s="2" t="s">
        <v>373</v>
      </c>
      <c r="E3" s="2" t="s">
        <v>374</v>
      </c>
      <c r="F3" s="2" t="s">
        <v>375</v>
      </c>
      <c r="G3" s="2" t="s">
        <v>374</v>
      </c>
      <c r="H3" s="2" t="s">
        <v>376</v>
      </c>
      <c r="I3" s="3" t="s">
        <v>377</v>
      </c>
    </row>
    <row r="4" ht="15" customHeight="1">
      <c r="A4" s="2" t="s">
        <v>378</v>
      </c>
      <c r="B4" s="2" t="s">
        <v>363</v>
      </c>
      <c r="C4" s="2" t="s">
        <v>379</v>
      </c>
      <c r="D4" s="2" t="s">
        <v>380</v>
      </c>
      <c r="E4" s="2" t="s">
        <v>381</v>
      </c>
      <c r="F4" s="2" t="s">
        <v>382</v>
      </c>
      <c r="G4" s="2" t="s">
        <v>381</v>
      </c>
      <c r="H4" s="2" t="s">
        <v>383</v>
      </c>
      <c r="I4" s="3" t="s">
        <v>377</v>
      </c>
    </row>
    <row r="5" ht="15" customHeight="1">
      <c r="A5" s="2" t="s">
        <v>384</v>
      </c>
      <c r="B5" s="2" t="s">
        <v>385</v>
      </c>
      <c r="C5" s="2" t="s">
        <v>386</v>
      </c>
      <c r="D5" s="2" t="s">
        <v>387</v>
      </c>
      <c r="E5" s="2" t="s">
        <v>388</v>
      </c>
      <c r="F5" s="2" t="s">
        <v>389</v>
      </c>
      <c r="G5" s="2" t="s">
        <v>390</v>
      </c>
      <c r="H5" s="2" t="s">
        <v>390</v>
      </c>
      <c r="I5" s="7" t="s">
        <v>370</v>
      </c>
    </row>
    <row r="6" ht="15" customHeight="1">
      <c r="A6" s="2" t="s">
        <v>391</v>
      </c>
      <c r="B6" s="2" t="s">
        <v>392</v>
      </c>
      <c r="C6" s="2" t="s">
        <v>393</v>
      </c>
      <c r="D6" s="2" t="s">
        <v>394</v>
      </c>
      <c r="E6" s="2" t="s">
        <v>381</v>
      </c>
      <c r="F6" s="2" t="s">
        <v>395</v>
      </c>
      <c r="G6" s="2" t="s">
        <v>394</v>
      </c>
      <c r="H6" s="2" t="s">
        <v>394</v>
      </c>
      <c r="I6" s="7" t="s">
        <v>370</v>
      </c>
    </row>
    <row r="7" ht="15" customHeight="1">
      <c r="A7" s="2" t="s">
        <v>396</v>
      </c>
      <c r="B7" s="2" t="s">
        <v>397</v>
      </c>
      <c r="C7" s="2" t="s">
        <v>398</v>
      </c>
      <c r="D7" s="2" t="s">
        <v>399</v>
      </c>
      <c r="E7" s="2" t="s">
        <v>374</v>
      </c>
      <c r="F7" s="2" t="s">
        <v>400</v>
      </c>
      <c r="G7" s="2" t="s">
        <v>401</v>
      </c>
      <c r="H7" s="2" t="s">
        <v>401</v>
      </c>
      <c r="I7" s="8" t="s">
        <v>402</v>
      </c>
    </row>
    <row r="8" ht="15" customHeight="1">
      <c r="A8" s="2" t="s">
        <v>403</v>
      </c>
      <c r="B8" s="2" t="s">
        <v>397</v>
      </c>
      <c r="C8" s="2" t="s">
        <v>404</v>
      </c>
      <c r="D8" s="2" t="s">
        <v>405</v>
      </c>
      <c r="E8" s="2" t="s">
        <v>374</v>
      </c>
      <c r="F8" s="2" t="s">
        <v>15</v>
      </c>
      <c r="G8" s="2" t="s">
        <v>374</v>
      </c>
      <c r="H8" s="2" t="s">
        <v>374</v>
      </c>
      <c r="I8" s="8" t="s">
        <v>402</v>
      </c>
    </row>
    <row r="9" ht="15" customHeight="1">
      <c r="A9" s="2" t="s">
        <v>406</v>
      </c>
      <c r="B9" s="2" t="s">
        <v>407</v>
      </c>
      <c r="C9" s="2" t="s">
        <v>408</v>
      </c>
      <c r="D9" s="2" t="s">
        <v>409</v>
      </c>
      <c r="E9" s="2" t="s">
        <v>410</v>
      </c>
      <c r="F9" s="2" t="s">
        <v>406</v>
      </c>
      <c r="G9" s="2" t="s">
        <v>410</v>
      </c>
      <c r="H9" s="2" t="s">
        <v>411</v>
      </c>
      <c r="I9" s="3" t="s">
        <v>377</v>
      </c>
    </row>
    <row r="10" ht="15" customHeight="1">
      <c r="A10" s="2" t="s">
        <v>412</v>
      </c>
      <c r="B10" s="2" t="s">
        <v>413</v>
      </c>
      <c r="C10" s="2" t="s">
        <v>414</v>
      </c>
      <c r="D10" s="2">
        <f>N_FU,power of two</f>
      </c>
      <c r="E10" s="2" t="s">
        <v>374</v>
      </c>
      <c r="F10" s="2" t="s">
        <v>415</v>
      </c>
      <c r="G10" s="2" t="s">
        <v>401</v>
      </c>
      <c r="H10" s="2">
        <f>N_FU</f>
      </c>
      <c r="I10" s="8" t="s">
        <v>402</v>
      </c>
    </row>
    <row r="11" ht="15" customHeight="1">
      <c r="A11" s="2" t="s">
        <v>416</v>
      </c>
      <c r="B11" s="2" t="s">
        <v>417</v>
      </c>
      <c r="C11" s="2" t="s">
        <v>418</v>
      </c>
      <c r="D11" s="2" t="s">
        <v>409</v>
      </c>
      <c r="E11" s="2" t="s">
        <v>381</v>
      </c>
      <c r="F11" s="2" t="s">
        <v>419</v>
      </c>
      <c r="G11" s="2" t="s">
        <v>381</v>
      </c>
      <c r="H11" s="2" t="s">
        <v>409</v>
      </c>
      <c r="I11" s="3" t="s">
        <v>377</v>
      </c>
    </row>
    <row r="12" ht="15" customHeight="1">
      <c r="A12" s="2" t="s">
        <v>420</v>
      </c>
      <c r="B12" s="2" t="s">
        <v>413</v>
      </c>
      <c r="C12" s="2" t="s">
        <v>421</v>
      </c>
      <c r="D12" s="2" t="s">
        <v>422</v>
      </c>
      <c r="E12" s="2" t="s">
        <v>374</v>
      </c>
      <c r="F12" s="2" t="s">
        <v>423</v>
      </c>
      <c r="G12" s="2" t="s">
        <v>374</v>
      </c>
      <c r="H12" s="2" t="s">
        <v>424</v>
      </c>
      <c r="I12" s="3" t="s">
        <v>377</v>
      </c>
    </row>
    <row r="13" ht="15" customHeight="1">
      <c r="A13" s="2" t="s">
        <v>425</v>
      </c>
      <c r="B13" s="2" t="s">
        <v>426</v>
      </c>
      <c r="C13" s="2" t="s">
        <v>427</v>
      </c>
      <c r="D13" s="2" t="s">
        <v>428</v>
      </c>
      <c r="E13" s="2" t="s">
        <v>429</v>
      </c>
      <c r="F13" s="2" t="s">
        <v>430</v>
      </c>
      <c r="G13" s="2" t="s">
        <v>431</v>
      </c>
      <c r="H13" s="2" t="s">
        <v>432</v>
      </c>
      <c r="I13" s="3" t="s">
        <v>377</v>
      </c>
    </row>
    <row r="14" ht="15" customHeight="1">
      <c r="A14" s="2" t="s">
        <v>433</v>
      </c>
      <c r="B14" s="2" t="s">
        <v>434</v>
      </c>
      <c r="C14" s="2" t="s">
        <v>435</v>
      </c>
      <c r="D14" s="2" t="s">
        <v>436</v>
      </c>
      <c r="E14" s="2" t="s">
        <v>437</v>
      </c>
      <c r="F14" s="2" t="s">
        <v>438</v>
      </c>
      <c r="G14" s="2" t="s">
        <v>437</v>
      </c>
      <c r="H14" s="2" t="s">
        <v>439</v>
      </c>
      <c r="I14" s="3" t="s">
        <v>377</v>
      </c>
    </row>
    <row r="15" ht="15" customHeight="1">
      <c r="A15" s="2" t="s">
        <v>440</v>
      </c>
      <c r="B15" s="2" t="s">
        <v>426</v>
      </c>
      <c r="C15" s="2" t="s">
        <v>441</v>
      </c>
      <c r="D15" s="2" t="s">
        <v>442</v>
      </c>
      <c r="E15" s="2" t="s">
        <v>443</v>
      </c>
      <c r="F15" s="2" t="s">
        <v>15</v>
      </c>
      <c r="G15" s="2" t="s">
        <v>431</v>
      </c>
      <c r="H15" s="2" t="s">
        <v>444</v>
      </c>
      <c r="I15" s="8" t="s">
        <v>402</v>
      </c>
    </row>
    <row r="16" ht="15" customHeight="1">
      <c r="A16" s="2" t="s">
        <v>445</v>
      </c>
      <c r="B16" s="2" t="s">
        <v>446</v>
      </c>
      <c r="C16" s="2" t="s">
        <v>447</v>
      </c>
      <c r="D16" s="2" t="s">
        <v>448</v>
      </c>
      <c r="E16" s="2" t="s">
        <v>449</v>
      </c>
      <c r="F16" s="2" t="s">
        <v>450</v>
      </c>
      <c r="G16" s="2" t="s">
        <v>451</v>
      </c>
      <c r="H16" s="2" t="s">
        <v>452</v>
      </c>
      <c r="I16" s="3" t="s">
        <v>377</v>
      </c>
    </row>
    <row r="17" ht="15" customHeight="1">
      <c r="A17" s="2" t="s">
        <v>453</v>
      </c>
      <c r="B17" s="2" t="s">
        <v>446</v>
      </c>
      <c r="C17" s="2" t="s">
        <v>454</v>
      </c>
      <c r="D17" s="2" t="s">
        <v>448</v>
      </c>
      <c r="E17" s="2" t="s">
        <v>455</v>
      </c>
      <c r="F17" s="2" t="s">
        <v>400</v>
      </c>
      <c r="G17" s="2" t="s">
        <v>456</v>
      </c>
      <c r="H17" s="2" t="s">
        <v>457</v>
      </c>
      <c r="I17" s="7" t="s">
        <v>370</v>
      </c>
    </row>
    <row r="18" ht="15" customHeight="1">
      <c r="A18" s="2" t="s">
        <v>458</v>
      </c>
      <c r="B18" s="2" t="s">
        <v>459</v>
      </c>
      <c r="C18" s="2" t="s">
        <v>460</v>
      </c>
      <c r="D18" s="2">
        <f t="shared" si="0" ref="D18:H18">ELEN</f>
      </c>
      <c r="E18" s="2" t="s">
        <v>461</v>
      </c>
      <c r="F18" s="2" t="s">
        <v>458</v>
      </c>
      <c r="G18" s="2" t="s">
        <v>462</v>
      </c>
      <c r="H18" s="2">
        <f t="shared" si="0"/>
      </c>
      <c r="I18" s="8" t="s">
        <v>402</v>
      </c>
    </row>
    <row r="19" ht="15" customHeight="1">
      <c r="A19" s="2" t="s">
        <v>463</v>
      </c>
      <c r="B19" s="2" t="s">
        <v>459</v>
      </c>
      <c r="C19" s="2" t="s">
        <v>464</v>
      </c>
      <c r="D19" s="2" t="s">
        <v>465</v>
      </c>
      <c r="E19" s="2" t="s">
        <v>466</v>
      </c>
      <c r="F19" s="2" t="s">
        <v>463</v>
      </c>
      <c r="G19" s="2" t="s">
        <v>466</v>
      </c>
      <c r="H19" s="2" t="s">
        <v>466</v>
      </c>
      <c r="I19" s="3" t="s">
        <v>377</v>
      </c>
    </row>
    <row r="21" ht="15" customHeight="1">
      <c r="A21" s="5" t="s">
        <v>467</v>
      </c>
    </row>
    <row r="22" ht="15" customHeight="1">
      <c r="A22" s="1" t="s">
        <v>468</v>
      </c>
      <c r="B22" s="1" t="s">
        <v>469</v>
      </c>
      <c r="C22" s="1" t="s">
        <v>470</v>
      </c>
      <c r="D22" s="1" t="s">
        <v>471</v>
      </c>
    </row>
    <row r="23" ht="15" customHeight="1">
      <c r="A23" s="2" t="s">
        <v>472</v>
      </c>
      <c r="B23" s="2" t="s">
        <v>473</v>
      </c>
      <c r="C23" s="2" t="s">
        <v>474</v>
      </c>
      <c r="D23" s="2" t="s">
        <v>475</v>
      </c>
    </row>
    <row r="24" ht="15" customHeight="1">
      <c r="A24" s="2" t="s">
        <v>476</v>
      </c>
      <c r="B24" s="2" t="s">
        <v>477</v>
      </c>
      <c r="C24" s="2" t="s">
        <v>478</v>
      </c>
      <c r="D24" s="2" t="s">
        <v>475</v>
      </c>
    </row>
    <row r="25" ht="15" customHeight="1">
      <c r="A25" s="2" t="s">
        <v>479</v>
      </c>
      <c r="B25" s="2" t="s">
        <v>480</v>
      </c>
      <c r="C25" s="2" t="s">
        <v>481</v>
      </c>
      <c r="D25" s="2" t="s">
        <v>475</v>
      </c>
    </row>
    <row r="26" ht="15" customHeight="1">
      <c r="A26" s="2" t="s">
        <v>340</v>
      </c>
      <c r="B26" s="2" t="s">
        <v>482</v>
      </c>
      <c r="C26" s="2" t="s">
        <v>483</v>
      </c>
      <c r="D26" s="2" t="s">
        <v>475</v>
      </c>
    </row>
    <row r="27" ht="15" customHeight="1">
      <c r="A27" s="2" t="s">
        <v>349</v>
      </c>
      <c r="B27" s="2" t="s">
        <v>484</v>
      </c>
      <c r="C27" s="2" t="s">
        <v>453</v>
      </c>
      <c r="D27" s="2" t="s">
        <v>485</v>
      </c>
    </row>
    <row r="28" ht="15" customHeight="1">
      <c r="A28" s="2" t="s">
        <v>486</v>
      </c>
      <c r="B28" s="2" t="s">
        <v>487</v>
      </c>
      <c r="C28" s="2" t="s">
        <v>488</v>
      </c>
      <c r="D28" s="2" t="s">
        <v>489</v>
      </c>
    </row>
    <row r="29" ht="15" customHeight="1">
      <c r="A29" s="2" t="s">
        <v>490</v>
      </c>
      <c r="B29" s="2" t="s">
        <v>491</v>
      </c>
      <c r="C29" s="2" t="s">
        <v>492</v>
      </c>
      <c r="D29" s="2" t="s">
        <v>493</v>
      </c>
    </row>
    <row r="30" ht="15" customHeight="1">
      <c r="A30" s="2" t="s">
        <v>494</v>
      </c>
      <c r="B30" s="2" t="s">
        <v>491</v>
      </c>
      <c r="C30" s="2" t="s">
        <v>495</v>
      </c>
      <c r="D30" s="2" t="s">
        <v>493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legacyDrawing r:id="rId2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2026-09-24T07:50:21Z</dcterms:created>
  <dcterms:modified xsi:type="dcterms:W3CDTF">2026-09-24T08:00:01Z</dcterms:modified>
</cp:coreProperties>
</file>